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809fdd95a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c5b491edc14745"/>
    <x:sheet xmlns:r="http://schemas.openxmlformats.org/officeDocument/2006/relationships" name="Pricing" sheetId="2" r:id="R515dc70c6fad4bd7"/>
    <x:sheet xmlns:r="http://schemas.openxmlformats.org/officeDocument/2006/relationships" name="Codex Costs" sheetId="3" r:id="Rc9a31f80ec82473d"/>
    <x:sheet xmlns:r="http://schemas.openxmlformats.org/officeDocument/2006/relationships" name="Claude Costs" sheetId="4" r:id="R9d954374e5ee494f"/>
    <x:sheet xmlns:r="http://schemas.openxmlformats.org/officeDocument/2006/relationships" name="Chart Data" sheetId="5" r:id="Rcf8031ff9582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0.000"/>
    <x:numFmt numFmtId="201" formatCode="#,##0"/>
    <x:numFmt numFmtId="202" formatCode="yyyy-mm-dd"/>
    <x:numFmt numFmtId="203" formatCode="0"/>
    <x:numFmt numFmtId="204" formatCode="&quot;$&quot;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253746"/>
      <x:name val="Carlito"/>
    </x:font>
    <x:font>
      <x:b/>
      <x:sz val="11"/>
      <x:color rgb="FF253746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53746"/>
      </x:patternFill>
    </x:fill>
    <x:fill>
      <x:patternFill patternType="solid">
        <x:fgColor rgb="FFB76E22"/>
      </x:patternFill>
    </x:fill>
    <x:fill>
      <x:patternFill patternType="solid">
        <x:fgColor rgb="FF204E5A"/>
      </x:patternFill>
    </x:fill>
    <x:fill>
      <x:patternFill patternType="solid">
        <x:fgColor rgb="FFE8EFF1"/>
      </x:patternFill>
    </x:fill>
    <x:fill>
      <x:patternFill patternType="solid">
        <x:fgColor rgb="FFDCEAEC"/>
      </x:patternFill>
    </x:fill>
    <x:fill>
      <x:patternFill patternType="solid">
        <x:fgColor rgb="FFF3E8D9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204" fontId="4" fillId="6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0c31e3ec340eb" /><Relationship Type="http://schemas.openxmlformats.org/officeDocument/2006/relationships/theme" Target="/xl/theme/theme1.xml" Id="R6fb05de38ad24fd2" /><Relationship Type="http://schemas.openxmlformats.org/officeDocument/2006/relationships/sharedStrings" Target="/xl/sharedStrings.xml" Id="Red834e5a666e4921" /><Relationship Type="http://schemas.openxmlformats.org/officeDocument/2006/relationships/worksheet" Target="/xl/worksheets/sheet1.xml" Id="R7cc5b491edc14745" /><Relationship Type="http://schemas.openxmlformats.org/officeDocument/2006/relationships/worksheet" Target="/xl/worksheets/sheet2.xml" Id="R515dc70c6fad4bd7" /><Relationship Type="http://schemas.openxmlformats.org/officeDocument/2006/relationships/worksheet" Target="/xl/worksheets/sheet3.xml" Id="Rc9a31f80ec82473d" /><Relationship Type="http://schemas.openxmlformats.org/officeDocument/2006/relationships/worksheet" Target="/xl/worksheets/sheet4.xml" Id="R9d954374e5ee494f" /><Relationship Type="http://schemas.openxmlformats.org/officeDocument/2006/relationships/worksheet" Target="/xl/worksheets/sheet5.xml" Id="Rcf8031ff958249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42a22e82bc4f51" /><Relationship Type="http://schemas.openxmlformats.org/officeDocument/2006/relationships/chart" Target="/xl/drawings/charts/chart2.xml" Id="Rd7aa297b37474f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Daily cost by model ($): trailing 30 days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gpt-5.2</c:v>
          </c:tx>
          <c:spPr>
            <a:solidFill xmlns:a="http://schemas.openxmlformats.org/drawingml/2006/main">
              <a:srgbClr val="2E6F9E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Data'!$B$4:$B$33</c:f>
              <c:numCache>
                <c:formatCode>"$"#,##0</c:formatCode>
                <c:ptCount val="0"/>
              </c:numCache>
            </c:numRef>
          </c:val>
        </c:ser>
        <c:ser>
          <c:idx val="1"/>
          <c:order val="1"/>
          <c:tx>
            <c:v>gpt-5.2-codex</c:v>
          </c:tx>
          <c:spPr>
            <a:solidFill xmlns:a="http://schemas.openxmlformats.org/drawingml/2006/main">
              <a:srgbClr val="4B9B8A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Data'!$C$4:$C$33</c:f>
              <c:numCache>
                <c:formatCode>"$"#,##0</c:formatCode>
                <c:ptCount val="0"/>
              </c:numCache>
            </c:numRef>
          </c:val>
        </c:ser>
        <c:ser>
          <c:idx val="2"/>
          <c:order val="2"/>
          <c:tx>
            <c:v>gpt-5.3-codex</c:v>
          </c:tx>
          <c:spPr>
            <a:solidFill xmlns:a="http://schemas.openxmlformats.org/drawingml/2006/main">
              <a:srgbClr val="D18B2C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Data'!$D$4:$D$33</c:f>
              <c:numCache>
                <c:formatCode>"$"#,##0</c:formatCode>
                <c:ptCount val="0"/>
              </c:numCache>
            </c:numRef>
          </c:val>
        </c:ser>
        <c:ser>
          <c:idx val="3"/>
          <c:order val="3"/>
          <c:tx>
            <c:v>gpt-5.3-codex-spark</c:v>
          </c:tx>
          <c:spPr>
            <a:solidFill xmlns:a="http://schemas.openxmlformats.org/drawingml/2006/main">
              <a:srgbClr val="A8555A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Data'!$E$4:$E$33</c:f>
              <c:numCache>
                <c:formatCode>"$"#,##0</c:formatCode>
                <c:ptCount val="0"/>
              </c:numCache>
            </c:numRef>
          </c:val>
        </c:ser>
        <c:ser>
          <c:idx val="4"/>
          <c:order val="4"/>
          <c:tx>
            <c:v>gpt-5.4</c:v>
          </c:tx>
          <c:spPr>
            <a:solidFill xmlns:a="http://schemas.openxmlformats.org/drawingml/2006/main">
              <a:srgbClr val="7557A8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Data'!$F$4:$F$33</c:f>
              <c:numCache>
                <c:formatCode>"$"#,##0</c:formatCode>
                <c:ptCount val="0"/>
              </c:numCache>
            </c:numRef>
          </c:val>
        </c:ser>
        <c:ser>
          <c:idx val="5"/>
          <c:order val="5"/>
          <c:tx>
            <c:v>gpt-5.5</c:v>
          </c:tx>
          <c:spPr>
            <a:solidFill xmlns:a="http://schemas.openxmlformats.org/drawingml/2006/main">
              <a:srgbClr val="6A7A35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Data'!$G$4:$G$33</c:f>
              <c:numCache>
                <c:formatCode>"$"#,##0</c:formatCode>
                <c:ptCount val="0"/>
              </c:numCache>
            </c:numRef>
          </c:val>
        </c:ser>
        <c:ser>
          <c:idx val="6"/>
          <c:order val="6"/>
          <c:tx>
            <c:v>gpt-5.6-luna</c:v>
          </c:tx>
          <c:spPr>
            <a:solidFill xmlns:a="http://schemas.openxmlformats.org/drawingml/2006/main">
              <a:srgbClr val="3A8DA8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Data'!$H$4:$H$33</c:f>
              <c:numCache>
                <c:formatCode>"$"#,##0</c:formatCode>
                <c:ptCount val="0"/>
              </c:numCache>
            </c:numRef>
          </c:val>
        </c:ser>
        <c:ser>
          <c:idx val="7"/>
          <c:order val="7"/>
          <c:tx>
            <c:v>gpt-5.6-sol</c:v>
          </c:tx>
          <c:spPr>
            <a:solidFill xmlns:a="http://schemas.openxmlformats.org/drawingml/2006/main">
              <a:srgbClr val="BC6B3B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Data'!$I$4:$I$33</c:f>
              <c:numCache>
                <c:formatCode>"$"#,##0</c:formatCode>
                <c:ptCount val="0"/>
              </c:numCache>
            </c:numRef>
          </c:val>
        </c:ser>
        <c:ser>
          <c:idx val="8"/>
          <c:order val="8"/>
          <c:tx>
            <c:v>claude-fable-5</c:v>
          </c:tx>
          <c:spPr>
            <a:solidFill xmlns:a="http://schemas.openxmlformats.org/drawingml/2006/main">
              <a:srgbClr val="3E5D78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Data'!$J$4:$J$33</c:f>
              <c:numCache>
                <c:formatCode>"$"#,##0</c:formatCode>
                <c:ptCount val="0"/>
              </c:numCache>
            </c:numRef>
          </c:val>
        </c:ser>
        <c:ser>
          <c:idx val="9"/>
          <c:order val="9"/>
          <c:tx>
            <c:v>claude-haiku-4-5-20251001</c:v>
          </c:tx>
          <c:spPr>
            <a:solidFill xmlns:a="http://schemas.openxmlformats.org/drawingml/2006/main">
              <a:srgbClr val="C24F83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Data'!$K$4:$K$33</c:f>
              <c:numCache>
                <c:formatCode>"$"#,##0</c:formatCode>
                <c:ptCount val="0"/>
              </c:numCache>
            </c:numRef>
          </c:val>
        </c:ser>
        <c:ser>
          <c:idx val="10"/>
          <c:order val="10"/>
          <c:tx>
            <c:v>claude-opus-4-8</c:v>
          </c:tx>
          <c:spPr>
            <a:solidFill xmlns:a="http://schemas.openxmlformats.org/drawingml/2006/main">
              <a:srgbClr val="7A6A58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Data'!$L$4:$L$33</c:f>
              <c:numCache>
                <c:formatCode>"$"#,##0</c:formatCode>
                <c:ptCount val="0"/>
              </c:numCache>
            </c:numRef>
          </c:val>
        </c:ser>
        <c:ser>
          <c:idx val="11"/>
          <c:order val="11"/>
          <c:tx>
            <c:v>claude-sonnet-5</c:v>
          </c:tx>
          <c:spPr>
            <a:solidFill xmlns:a="http://schemas.openxmlformats.org/drawingml/2006/main">
              <a:srgbClr val="2F7D5C"/>
            </a:solidFill>
          </c:spPr>
          <c:marker>
            <c:symbol val="none"/>
          </c:marker>
          <c:cat>
            <c:strRef>
              <c:f>'Chart Data'!$A$4:$A$33</c:f>
              <c:strCache>
                <c:ptCount val="0"/>
              </c:strCache>
            </c:strRef>
          </c:cat>
          <c:val>
            <c:numRef>
              <c:f>'Chart Data'!$M$4:$M$33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Monthly cost by model ($): since tracking began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gpt-5.2</c:v>
          </c:tx>
          <c:spPr>
            <a:solidFill xmlns:a="http://schemas.openxmlformats.org/drawingml/2006/main">
              <a:srgbClr val="2E6F9E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Data'!$B$39:$B$44</c:f>
              <c:numCache>
                <c:formatCode>"$"#,##0</c:formatCode>
                <c:ptCount val="0"/>
              </c:numCache>
            </c:numRef>
          </c:val>
        </c:ser>
        <c:ser>
          <c:idx val="1"/>
          <c:order val="1"/>
          <c:tx>
            <c:v>gpt-5.2-codex</c:v>
          </c:tx>
          <c:spPr>
            <a:solidFill xmlns:a="http://schemas.openxmlformats.org/drawingml/2006/main">
              <a:srgbClr val="4B9B8A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Data'!$C$39:$C$44</c:f>
              <c:numCache>
                <c:formatCode>"$"#,##0</c:formatCode>
                <c:ptCount val="0"/>
              </c:numCache>
            </c:numRef>
          </c:val>
        </c:ser>
        <c:ser>
          <c:idx val="2"/>
          <c:order val="2"/>
          <c:tx>
            <c:v>gpt-5.3-codex</c:v>
          </c:tx>
          <c:spPr>
            <a:solidFill xmlns:a="http://schemas.openxmlformats.org/drawingml/2006/main">
              <a:srgbClr val="D18B2C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Data'!$D$39:$D$44</c:f>
              <c:numCache>
                <c:formatCode>"$"#,##0</c:formatCode>
                <c:ptCount val="0"/>
              </c:numCache>
            </c:numRef>
          </c:val>
        </c:ser>
        <c:ser>
          <c:idx val="3"/>
          <c:order val="3"/>
          <c:tx>
            <c:v>gpt-5.3-codex-spark</c:v>
          </c:tx>
          <c:spPr>
            <a:solidFill xmlns:a="http://schemas.openxmlformats.org/drawingml/2006/main">
              <a:srgbClr val="A8555A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Data'!$E$39:$E$44</c:f>
              <c:numCache>
                <c:formatCode>"$"#,##0</c:formatCode>
                <c:ptCount val="0"/>
              </c:numCache>
            </c:numRef>
          </c:val>
        </c:ser>
        <c:ser>
          <c:idx val="4"/>
          <c:order val="4"/>
          <c:tx>
            <c:v>gpt-5.4</c:v>
          </c:tx>
          <c:spPr>
            <a:solidFill xmlns:a="http://schemas.openxmlformats.org/drawingml/2006/main">
              <a:srgbClr val="7557A8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Data'!$F$39:$F$44</c:f>
              <c:numCache>
                <c:formatCode>"$"#,##0</c:formatCode>
                <c:ptCount val="0"/>
              </c:numCache>
            </c:numRef>
          </c:val>
        </c:ser>
        <c:ser>
          <c:idx val="5"/>
          <c:order val="5"/>
          <c:tx>
            <c:v>gpt-5.5</c:v>
          </c:tx>
          <c:spPr>
            <a:solidFill xmlns:a="http://schemas.openxmlformats.org/drawingml/2006/main">
              <a:srgbClr val="6A7A35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Data'!$G$39:$G$44</c:f>
              <c:numCache>
                <c:formatCode>"$"#,##0</c:formatCode>
                <c:ptCount val="0"/>
              </c:numCache>
            </c:numRef>
          </c:val>
        </c:ser>
        <c:ser>
          <c:idx val="6"/>
          <c:order val="6"/>
          <c:tx>
            <c:v>gpt-5.6-luna</c:v>
          </c:tx>
          <c:spPr>
            <a:solidFill xmlns:a="http://schemas.openxmlformats.org/drawingml/2006/main">
              <a:srgbClr val="3A8DA8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Data'!$H$39:$H$44</c:f>
              <c:numCache>
                <c:formatCode>"$"#,##0</c:formatCode>
                <c:ptCount val="0"/>
              </c:numCache>
            </c:numRef>
          </c:val>
        </c:ser>
        <c:ser>
          <c:idx val="7"/>
          <c:order val="7"/>
          <c:tx>
            <c:v>gpt-5.6-sol</c:v>
          </c:tx>
          <c:spPr>
            <a:solidFill xmlns:a="http://schemas.openxmlformats.org/drawingml/2006/main">
              <a:srgbClr val="BC6B3B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Data'!$I$39:$I$44</c:f>
              <c:numCache>
                <c:formatCode>"$"#,##0</c:formatCode>
                <c:ptCount val="0"/>
              </c:numCache>
            </c:numRef>
          </c:val>
        </c:ser>
        <c:ser>
          <c:idx val="8"/>
          <c:order val="8"/>
          <c:tx>
            <c:v>claude-fable-5</c:v>
          </c:tx>
          <c:spPr>
            <a:solidFill xmlns:a="http://schemas.openxmlformats.org/drawingml/2006/main">
              <a:srgbClr val="3E5D78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Data'!$J$39:$J$44</c:f>
              <c:numCache>
                <c:formatCode>"$"#,##0</c:formatCode>
                <c:ptCount val="0"/>
              </c:numCache>
            </c:numRef>
          </c:val>
        </c:ser>
        <c:ser>
          <c:idx val="9"/>
          <c:order val="9"/>
          <c:tx>
            <c:v>claude-haiku-4-5-20251001</c:v>
          </c:tx>
          <c:spPr>
            <a:solidFill xmlns:a="http://schemas.openxmlformats.org/drawingml/2006/main">
              <a:srgbClr val="C24F83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Data'!$K$39:$K$44</c:f>
              <c:numCache>
                <c:formatCode>"$"#,##0</c:formatCode>
                <c:ptCount val="0"/>
              </c:numCache>
            </c:numRef>
          </c:val>
        </c:ser>
        <c:ser>
          <c:idx val="10"/>
          <c:order val="10"/>
          <c:tx>
            <c:v>claude-opus-4-8</c:v>
          </c:tx>
          <c:spPr>
            <a:solidFill xmlns:a="http://schemas.openxmlformats.org/drawingml/2006/main">
              <a:srgbClr val="7A6A58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Data'!$L$39:$L$44</c:f>
              <c:numCache>
                <c:formatCode>"$"#,##0</c:formatCode>
                <c:ptCount val="0"/>
              </c:numCache>
            </c:numRef>
          </c:val>
        </c:ser>
        <c:ser>
          <c:idx val="11"/>
          <c:order val="11"/>
          <c:tx>
            <c:v>claude-sonnet-5</c:v>
          </c:tx>
          <c:spPr>
            <a:solidFill xmlns:a="http://schemas.openxmlformats.org/drawingml/2006/main">
              <a:srgbClr val="2F7D5C"/>
            </a:solidFill>
          </c:spPr>
          <c:marker>
            <c:symbol val="none"/>
          </c:marker>
          <c:cat>
            <c:strRef>
              <c:f>'Chart Data'!$A$39:$A$44</c:f>
              <c:strCache>
                <c:ptCount val="0"/>
              </c:strCache>
            </c:strRef>
          </c:cat>
          <c:val>
            <c:numRef>
              <c:f>'Chart Data'!$M$39:$M$44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2a22e82bc4f5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9</xdr:col>
      <xdr:colOff>0</xdr:colOff>
      <xdr:row>69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aa297b37474f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ModelCostSummaryTable" displayName="ModelCostSummaryTable" ref="A8:I20" headerRowCount="1" totalsRowCount="0" totalsRowShown="0">
  <x:tableColumns count="9">
    <x:tableColumn id="1" name="provider"/>
    <x:tableColumn id="2" name="model"/>
    <x:tableColumn id="3" name="total_tokens"/>
    <x:tableColumn id="4" name="base_input_cost_usd"/>
    <x:tableColumn id="5" name="cache_read_cost_usd"/>
    <x:tableColumn id="6" name="cache_write_cost_usd"/>
    <x:tableColumn id="7" name="output_cost_usd"/>
    <x:tableColumn id="8" name="total_cost_usd"/>
    <x:tableColumn id="9" name="pricing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icingTable" displayName="PricingTable" ref="A1:J13" headerRowCount="1" totalsRowCount="0" totalsRowShown="0">
  <x:tableColumns count="10">
    <x:tableColumn id="1" name="provider"/>
    <x:tableColumn id="2" name="model"/>
    <x:tableColumn id="3" name="pricing_status"/>
    <x:tableColumn id="4" name="base_input_$/1m"/>
    <x:tableColumn id="5" name="cache_read_$/1m"/>
    <x:tableColumn id="6" name="cache_write_5m_$/1m"/>
    <x:tableColumn id="7" name="cache_write_1h_$/1m"/>
    <x:tableColumn id="8" name="output_$/1m"/>
    <x:tableColumn id="9" name="notes"/>
    <x:tableColumn id="1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dexCostsTable" displayName="CodexCostsTable" ref="A1:Y134" headerRowCount="1" totalsRowCount="0" totalsRowShown="0">
  <x:tableColumns count="25">
    <x:tableColumn id="1" name="date"/>
    <x:tableColumn id="2" name="month"/>
    <x:tableColumn id="3" name="year"/>
    <x:tableColumn id="4" name="provider"/>
    <x:tableColumn id="5" name="model"/>
    <x:tableColumn id="6" name="total_input_tokens"/>
    <x:tableColumn id="7" name="base_input_tokens"/>
    <x:tableColumn id="8" name="base_input_rate_per_1m"/>
    <x:tableColumn id="9" name="base_input_cost_usd"/>
    <x:tableColumn id="10" name="cache_read_tokens"/>
    <x:tableColumn id="11" name="cache_read_rate_per_1m"/>
    <x:tableColumn id="12" name="cache_read_cost_usd"/>
    <x:tableColumn id="13" name="cache_write_5m_tokens"/>
    <x:tableColumn id="14" name="cache_write_5m_rate_per_1m"/>
    <x:tableColumn id="15" name="cache_write_5m_cost_usd"/>
    <x:tableColumn id="16" name="cache_write_1h_tokens"/>
    <x:tableColumn id="17" name="cache_write_1h_rate_per_1m"/>
    <x:tableColumn id="18" name="cache_write_1h_cost_usd"/>
    <x:tableColumn id="19" name="output_tokens"/>
    <x:tableColumn id="20" name="output_rate_per_1m"/>
    <x:tableColumn id="21" name="output_cost_usd"/>
    <x:tableColumn id="22" name="reasoning_output_tokens_included_in_output"/>
    <x:tableColumn id="23" name="total_tokens"/>
    <x:tableColumn id="24" name="total_cost_usd"/>
    <x:tableColumn id="25" name="pricing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laudeCostsTable" displayName="ClaudeCostsTable" ref="A1:Y43" headerRowCount="1" totalsRowCount="0" totalsRowShown="0">
  <x:tableColumns count="25">
    <x:tableColumn id="1" name="date"/>
    <x:tableColumn id="2" name="month"/>
    <x:tableColumn id="3" name="year"/>
    <x:tableColumn id="4" name="provider"/>
    <x:tableColumn id="5" name="model"/>
    <x:tableColumn id="6" name="total_input_tokens"/>
    <x:tableColumn id="7" name="base_input_tokens"/>
    <x:tableColumn id="8" name="base_input_rate_per_1m"/>
    <x:tableColumn id="9" name="base_input_cost_usd"/>
    <x:tableColumn id="10" name="cache_read_tokens"/>
    <x:tableColumn id="11" name="cache_read_rate_per_1m"/>
    <x:tableColumn id="12" name="cache_read_cost_usd"/>
    <x:tableColumn id="13" name="cache_write_5m_tokens"/>
    <x:tableColumn id="14" name="cache_write_5m_rate_per_1m"/>
    <x:tableColumn id="15" name="cache_write_5m_cost_usd"/>
    <x:tableColumn id="16" name="cache_write_1h_tokens"/>
    <x:tableColumn id="17" name="cache_write_1h_rate_per_1m"/>
    <x:tableColumn id="18" name="cache_write_1h_cost_usd"/>
    <x:tableColumn id="19" name="output_tokens"/>
    <x:tableColumn id="20" name="output_rate_per_1m"/>
    <x:tableColumn id="21" name="output_cost_usd"/>
    <x:tableColumn id="22" name="reasoning_output_tokens_included_in_output"/>
    <x:tableColumn id="23" name="total_tokens"/>
    <x:tableColumn id="24" name="total_cost_usd"/>
    <x:tableColumn id="25" name="pricing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b0b7e0abf748c3" /><Relationship Type="http://schemas.openxmlformats.org/officeDocument/2006/relationships/table" Target="/xl/tables/table1.xml" Id="Rc6327f55451f46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a5521b3f73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b7da8b9c1141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d5a822eef4d43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19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3" hidden="0" customWidth="1"/>
  </x:cols>
  <x:sheetData>
    <x:row r="1" ht="34" customHeight="1">
      <x:c r="A1" s="32" t="str">
        <x:v>AI Token Usage Cost Analysis</x:v>
      </x:c>
      <x:c r="B1" s="32"/>
      <x:c r="C1" s="32"/>
      <x:c r="D1" s="32"/>
      <x:c r="E1" s="32"/>
      <x:c r="F1" s="32"/>
      <x:c r="G1" s="32"/>
      <x:c r="H1" s="32"/>
      <x:c r="I1" s="32"/>
    </x:row>
    <x:row r="2" ht="42" customHeight="1">
      <x:c r="A2" s="36" t="str">
        <x:v>Standard API list-price equivalent only, not actual ChatGPT or Claude subscription charges. Excludes credits, plan fees, long-context, priority, batch, regional, fast-mode, and tool-call modifiers.</x:v>
      </x:c>
      <x:c r="B2" s="36"/>
      <x:c r="C2" s="36"/>
      <x:c r="D2" s="36"/>
      <x:c r="E2" s="36"/>
      <x:c r="F2" s="36"/>
      <x:c r="G2" s="36"/>
      <x:c r="H2" s="36"/>
      <x:c r="I2" s="36"/>
    </x:row>
    <x:row r="4">
      <x:c r="A4" s="39" t="str">
        <x:v>Calculated list-price equivalent</x:v>
      </x:c>
      <x:c r="B4" s="39"/>
      <x:c r="C4" s="24" t="n">
        <x:f>SUM($H$9:$H$20)</x:f>
        <x:v>133927.86929365</x:v>
      </x:c>
      <x:c r="D4" s="43" t="str">
        <x:v>OpenAI subtotal</x:v>
      </x:c>
      <x:c r="E4" s="43"/>
      <x:c r="F4" s="24" t="n">
        <x:f>SUMIF($A$9:$A$20,"OpenAI",$H$9:$H$20)</x:f>
        <x:v>127050.0455526</x:v>
      </x:c>
      <x:c r="G4" s="43" t="str">
        <x:v>Anthropic subtotal</x:v>
      </x:c>
      <x:c r="H4" s="43"/>
      <x:c r="I4" s="24" t="n">
        <x:f>SUMIF($A$9:$A$20,"Anthropic",$H$9:$H$20)</x:f>
        <x:v>6877.8237410500005</x:v>
      </x:c>
    </x:row>
    <x:row r="5">
      <x:c r="A5" s="42" t="str">
        <x:v>Proxy-priced tokens</x:v>
      </x:c>
      <x:c r="B5" s="42"/>
      <x:c r="C5" s="12" t="n">
        <x:f>SUMIF($I$9:$I$20,"User-selected proxy",$C$9:$C$20)</x:f>
        <x:v>3905043180</x:v>
      </x:c>
      <x:c r="D5" s="44" t="str">
        <x:v>Published-priced tokens</x:v>
      </x:c>
      <x:c r="E5" s="44"/>
      <x:c r="F5" s="12" t="n">
        <x:f>SUMIF($I$9:$I$20,"Published",$C$9:$C$20)</x:f>
        <x:v>205370913854</x:v>
      </x:c>
      <x:c r="G5" s="44" t="str">
        <x:v>Rate basis</x:v>
      </x:c>
      <x:c r="H5" s="44"/>
      <x:c r="I5" s="12" t="n">
        <x:f>'Pricing'!$M$2</x:f>
        <x:v>1000000</x:v>
      </x:c>
    </x:row>
    <x:row r="8">
      <x:c r="A8" s="21" t="str">
        <x:v>provider</x:v>
      </x:c>
      <x:c r="B8" s="21" t="str">
        <x:v>model</x:v>
      </x:c>
      <x:c r="C8" s="21" t="str">
        <x:v>total_tokens</x:v>
      </x:c>
      <x:c r="D8" s="21" t="str">
        <x:v>base_input_cost_usd</x:v>
      </x:c>
      <x:c r="E8" s="21" t="str">
        <x:v>cache_read_cost_usd</x:v>
      </x:c>
      <x:c r="F8" s="21" t="str">
        <x:v>cache_write_cost_usd</x:v>
      </x:c>
      <x:c r="G8" s="21" t="str">
        <x:v>output_cost_usd</x:v>
      </x:c>
      <x:c r="H8" s="21" t="str">
        <x:v>total_cost_usd</x:v>
      </x:c>
      <x:c r="I8" s="21" t="str">
        <x:v>pricing_status</x:v>
      </x:c>
    </x:row>
    <x:row r="9" ht="22" customHeight="1">
      <x:c r="A9" t="str">
        <x:v>OpenAI</x:v>
      </x:c>
      <x:c r="B9" t="str">
        <x:v>gpt-5.2</x:v>
      </x:c>
      <x:c r="C9" s="12" t="n">
        <x:f>SUMIF('Codex Costs'!$E$2:$E$134,$B9,'Codex Costs'!$W$2:$W$134)</x:f>
        <x:v>46719</x:v>
      </x:c>
      <x:c r="D9" s="24" t="n">
        <x:f>IF($I9="No public API price","",SUMIF('Codex Costs'!$E$2:$E$134,$B9,'Codex Costs'!$I$2:$I$134))</x:f>
        <x:v>0.059339</x:v>
      </x:c>
      <x:c r="E9" s="24" t="n">
        <x:f>IF($I9="No public API price","",SUMIF('Codex Costs'!$E$2:$E$134,$B9,'Codex Costs'!$L$2:$L$134))</x:f>
        <x:v>0.0007616</x:v>
      </x:c>
      <x:c r="F9" s="24" t="n">
        <x:f>IF($I9="No public API price","",SUMIF('Codex Costs'!$E$2:$E$134,$B9,'Codex Costs'!$O$2:$O$134)+SUMIF('Codex Costs'!$E$2:$E$134,$B9,'Codex Costs'!$R$2:$R$134))</x:f>
        <x:v>0</x:v>
      </x:c>
      <x:c r="G9" s="24" t="n">
        <x:f>IF($I9="No public API price","",SUMIF('Codex Costs'!$E$2:$E$134,$B9,'Codex Costs'!$U$2:$U$134))</x:f>
        <x:v>0.11842599999999999</x:v>
      </x:c>
      <x:c r="H9" s="24" t="n">
        <x:f>IF($I9="No public API price","",SUM($D9:$G9))</x:f>
        <x:v>0.17852659999999998</x:v>
      </x:c>
      <x:c r="I9" t="str">
        <x:f>'Pricing'!$C$2</x:f>
        <x:v>Published</x:v>
      </x:c>
    </x:row>
    <x:row r="10" ht="22" customHeight="1">
      <x:c r="A10" t="str">
        <x:v>OpenAI</x:v>
      </x:c>
      <x:c r="B10" t="str">
        <x:v>gpt-5.2-codex</x:v>
      </x:c>
      <x:c r="C10" s="12" t="n">
        <x:f>SUMIF('Codex Costs'!$E$2:$E$134,$B10,'Codex Costs'!$W$2:$W$134)</x:f>
        <x:v>21777976</x:v>
      </x:c>
      <x:c r="D10" s="24" t="n">
        <x:f>IF($I10="No public API price","",SUMIF('Codex Costs'!$E$2:$E$134,$B10,'Codex Costs'!$I$2:$I$134))</x:f>
        <x:v>3.0696277500000004</x:v>
      </x:c>
      <x:c r="E10" s="24" t="n">
        <x:f>IF($I10="No public API price","",SUMIF('Codex Costs'!$E$2:$E$134,$B10,'Codex Costs'!$L$2:$L$134))</x:f>
        <x:v>3.4881504</x:v>
      </x:c>
      <x:c r="F10" s="24" t="n">
        <x:f>IF($I10="No public API price","",SUMIF('Codex Costs'!$E$2:$E$134,$B10,'Codex Costs'!$O$2:$O$134)+SUMIF('Codex Costs'!$E$2:$E$134,$B10,'Codex Costs'!$R$2:$R$134))</x:f>
        <x:v>0</x:v>
      </x:c>
      <x:c r="G10" s="24" t="n">
        <x:f>IF($I10="No public API price","",SUMIF('Codex Costs'!$E$2:$E$134,$B10,'Codex Costs'!$U$2:$U$134))</x:f>
        <x:v>1.28261</x:v>
      </x:c>
      <x:c r="H10" s="24" t="n">
        <x:f>IF($I10="No public API price","",SUM($D10:$G10))</x:f>
        <x:v>7.840388150000001</x:v>
      </x:c>
      <x:c r="I10" t="str">
        <x:f>'Pricing'!$C$3</x:f>
        <x:v>Published</x:v>
      </x:c>
    </x:row>
    <x:row r="11" ht="22" customHeight="1">
      <x:c r="A11" t="str">
        <x:v>OpenAI</x:v>
      </x:c>
      <x:c r="B11" t="str">
        <x:v>gpt-5.3-codex</x:v>
      </x:c>
      <x:c r="C11" s="12" t="n">
        <x:f>SUMIF('Codex Costs'!$E$2:$E$134,$B11,'Codex Costs'!$W$2:$W$134)</x:f>
        <x:v>21201409561</x:v>
      </x:c>
      <x:c r="D11" s="24" t="n">
        <x:f>IF($I11="No public API price","",SUMIF('Codex Costs'!$E$2:$E$134,$B11,'Codex Costs'!$I$2:$I$134))</x:f>
        <x:v>1382.5502425</x:v>
      </x:c>
      <x:c r="E11" s="24" t="n">
        <x:f>IF($I11="No public API price","",SUMIF('Codex Costs'!$E$2:$E$134,$B11,'Codex Costs'!$L$2:$L$134))</x:f>
        <x:v>3560.1575743999997</x:v>
      </x:c>
      <x:c r="F11" s="24" t="n">
        <x:f>IF($I11="No public API price","",SUMIF('Codex Costs'!$E$2:$E$134,$B11,'Codex Costs'!$O$2:$O$134)+SUMIF('Codex Costs'!$E$2:$E$134,$B11,'Codex Costs'!$R$2:$R$134))</x:f>
        <x:v>0</x:v>
      </x:c>
      <x:c r="G11" s="24" t="n">
        <x:f>IF($I11="No public API price","",SUMIF('Codex Costs'!$E$2:$E$134,$B11,'Codex Costs'!$U$2:$U$134))</x:f>
        <x:v>946.7259619999999</x:v>
      </x:c>
      <x:c r="H11" s="24" t="n">
        <x:f>IF($I11="No public API price","",SUM($D11:$G11))</x:f>
        <x:v>5889.433778899999</x:v>
      </x:c>
      <x:c r="I11" t="str">
        <x:f>'Pricing'!$C$4</x:f>
        <x:v>Published</x:v>
      </x:c>
    </x:row>
    <x:row r="12" ht="22" customHeight="1">
      <x:c r="A12" t="str">
        <x:v>OpenAI</x:v>
      </x:c>
      <x:c r="B12" t="str">
        <x:v>gpt-5.3-codex-spark</x:v>
      </x:c>
      <x:c r="C12" s="12" t="n">
        <x:f>SUMIF('Codex Costs'!$E$2:$E$134,$B12,'Codex Costs'!$W$2:$W$134)</x:f>
        <x:v>3905043180</x:v>
      </x:c>
      <x:c r="D12" s="24" t="n">
        <x:f>IF($I12="No public API price","",SUMIF('Codex Costs'!$E$2:$E$134,$B12,'Codex Costs'!$I$2:$I$134))</x:f>
        <x:v>276.31398724999997</x:v>
      </x:c>
      <x:c r="E12" s="24" t="n">
        <x:f>IF($I12="No public API price","",SUMIF('Codex Costs'!$E$2:$E$134,$B12,'Codex Costs'!$L$2:$L$134))</x:f>
        <x:v>651.7193087999999</x:v>
      </x:c>
      <x:c r="F12" s="24" t="n">
        <x:f>IF($I12="No public API price","",SUMIF('Codex Costs'!$E$2:$E$134,$B12,'Codex Costs'!$O$2:$O$134)+SUMIF('Codex Costs'!$E$2:$E$134,$B12,'Codex Costs'!$R$2:$R$134))</x:f>
        <x:v>0</x:v>
      </x:c>
      <x:c r="G12" s="24" t="n">
        <x:f>IF($I12="No public API price","",SUMIF('Codex Costs'!$E$2:$E$134,$B12,'Codex Costs'!$U$2:$U$134))</x:f>
        <x:v>322.547918</x:v>
      </x:c>
      <x:c r="H12" s="24" t="n">
        <x:f>IF($I12="No public API price","",SUM($D12:$G12))</x:f>
        <x:v>1250.5812140499997</x:v>
      </x:c>
      <x:c r="I12" t="str">
        <x:f>'Pricing'!$C$5</x:f>
        <x:v>User-selected proxy</x:v>
      </x:c>
    </x:row>
    <x:row r="13" ht="22" customHeight="1">
      <x:c r="A13" t="str">
        <x:v>OpenAI</x:v>
      </x:c>
      <x:c r="B13" t="str">
        <x:v>gpt-5.4</x:v>
      </x:c>
      <x:c r="C13" s="12" t="n">
        <x:f>SUMIF('Codex Costs'!$E$2:$E$134,$B13,'Codex Costs'!$W$2:$W$134)</x:f>
        <x:v>457706226</x:v>
      </x:c>
      <x:c r="D13" s="24" t="n">
        <x:f>IF($I13="No public API price","",SUMIF('Codex Costs'!$E$2:$E$134,$B13,'Codex Costs'!$I$2:$I$134))</x:f>
        <x:v>82.62840750000001</x:v>
      </x:c>
      <x:c r="E13" s="24" t="n">
        <x:f>IF($I13="No public API price","",SUMIF('Codex Costs'!$E$2:$E$134,$B13,'Codex Costs'!$L$2:$L$134))</x:f>
        <x:v>105.66579200000004</x:v>
      </x:c>
      <x:c r="F13" s="24" t="n">
        <x:f>IF($I13="No public API price","",SUMIF('Codex Costs'!$E$2:$E$134,$B13,'Codex Costs'!$O$2:$O$134)+SUMIF('Codex Costs'!$E$2:$E$134,$B13,'Codex Costs'!$R$2:$R$134))</x:f>
        <x:v>0</x:v>
      </x:c>
      <x:c r="G13" s="24" t="n">
        <x:f>IF($I13="No public API price","",SUMIF('Codex Costs'!$E$2:$E$134,$B13,'Codex Costs'!$U$2:$U$134))</x:f>
        <x:v>29.875424999999996</x:v>
      </x:c>
      <x:c r="H13" s="24" t="n">
        <x:f>IF($I13="No public API price","",SUM($D13:$G13))</x:f>
        <x:v>218.16962450000005</x:v>
      </x:c>
      <x:c r="I13" t="str">
        <x:f>'Pricing'!$C$6</x:f>
        <x:v>Published</x:v>
      </x:c>
    </x:row>
    <x:row r="14" ht="22" customHeight="1">
      <x:c r="A14" t="str">
        <x:v>OpenAI</x:v>
      </x:c>
      <x:c r="B14" t="str">
        <x:v>gpt-5.5</x:v>
      </x:c>
      <x:c r="C14" s="12" t="n">
        <x:f>SUMIF('Codex Costs'!$E$2:$E$134,$B14,'Codex Costs'!$W$2:$W$134)</x:f>
        <x:v>69002813909</x:v>
      </x:c>
      <x:c r="D14" s="24" t="n">
        <x:f>IF($I14="No public API price","",SUMIF('Codex Costs'!$E$2:$E$134,$B14,'Codex Costs'!$I$2:$I$134))</x:f>
        <x:v>15168.185335000004</x:v>
      </x:c>
      <x:c r="E14" s="24" t="n">
        <x:f>IF($I14="No public API price","",SUMIF('Codex Costs'!$E$2:$E$134,$B14,'Codex Costs'!$L$2:$L$134))</x:f>
        <x:v>32905.845760000004</x:v>
      </x:c>
      <x:c r="F14" s="24" t="n">
        <x:f>IF($I14="No public API price","",SUMIF('Codex Costs'!$E$2:$E$134,$B14,'Codex Costs'!$O$2:$O$134)+SUMIF('Codex Costs'!$E$2:$E$134,$B14,'Codex Costs'!$R$2:$R$134))</x:f>
        <x:v>0</x:v>
      </x:c>
      <x:c r="G14" s="24" t="n">
        <x:f>IF($I14="No public API price","",SUMIF('Codex Costs'!$E$2:$E$134,$B14,'Codex Costs'!$U$2:$U$134))</x:f>
        <x:v>4724.559660000001</x:v>
      </x:c>
      <x:c r="H14" s="24" t="n">
        <x:f>IF($I14="No public API price","",SUM($D14:$G14))</x:f>
        <x:v>52798.590755000005</x:v>
      </x:c>
      <x:c r="I14" t="str">
        <x:f>'Pricing'!$C$7</x:f>
        <x:v>Published</x:v>
      </x:c>
    </x:row>
    <x:row r="15" ht="22" customHeight="1">
      <x:c r="A15" t="str">
        <x:v>OpenAI</x:v>
      </x:c>
      <x:c r="B15" t="str">
        <x:v>gpt-5.6-luna</x:v>
      </x:c>
      <x:c r="C15" s="12" t="n">
        <x:f>SUMIF('Codex Costs'!$E$2:$E$134,$B15,'Codex Costs'!$W$2:$W$134)</x:f>
        <x:v>10829352</x:v>
      </x:c>
      <x:c r="D15" s="24" t="n">
        <x:f>IF($I15="No public API price","",SUMIF('Codex Costs'!$E$2:$E$134,$B15,'Codex Costs'!$I$2:$I$134))</x:f>
        <x:v>0.8987890000000001</x:v>
      </x:c>
      <x:c r="E15" s="24" t="n">
        <x:f>IF($I15="No public API price","",SUMIF('Codex Costs'!$E$2:$E$134,$B15,'Codex Costs'!$L$2:$L$134))</x:f>
        <x:v>0.9901824000000001</x:v>
      </x:c>
      <x:c r="F15" s="24" t="n">
        <x:f>IF($I15="No public API price","",SUMIF('Codex Costs'!$E$2:$E$134,$B15,'Codex Costs'!$O$2:$O$134)+SUMIF('Codex Costs'!$E$2:$E$134,$B15,'Codex Costs'!$R$2:$R$134))</x:f>
        <x:v>0</x:v>
      </x:c>
      <x:c r="G15" s="24" t="n">
        <x:f>IF($I15="No public API price","",SUMIF('Codex Costs'!$E$2:$E$134,$B15,'Codex Costs'!$U$2:$U$134))</x:f>
        <x:v>0.172434</x:v>
      </x:c>
      <x:c r="H15" s="24" t="n">
        <x:f>IF($I15="No public API price","",SUM($D15:$G15))</x:f>
        <x:v>2.0614054000000004</x:v>
      </x:c>
      <x:c r="I15" t="str">
        <x:f>'Pricing'!$C$8</x:f>
        <x:v>Published</x:v>
      </x:c>
    </x:row>
    <x:row r="16" ht="22" customHeight="1">
      <x:c r="A16" t="str">
        <x:v>OpenAI</x:v>
      </x:c>
      <x:c r="B16" t="str">
        <x:v>gpt-5.6-sol</x:v>
      </x:c>
      <x:c r="C16" s="12" t="n">
        <x:f>SUMIF('Codex Costs'!$E$2:$E$134,$B16,'Codex Costs'!$W$2:$W$134)</x:f>
        <x:v>110064197852</x:v>
      </x:c>
      <x:c r="D16" s="24" t="n">
        <x:f>IF($I16="No public API price","",SUMIF('Codex Costs'!$E$2:$E$134,$B16,'Codex Costs'!$I$2:$I$134))</x:f>
        <x:v>9037.3389</x:v>
      </x:c>
      <x:c r="E16" s="24" t="n">
        <x:f>IF($I16="No public API price","",SUMIF('Codex Costs'!$E$2:$E$134,$B16,'Codex Costs'!$L$2:$L$134))</x:f>
        <x:v>54065.356799999994</x:v>
      </x:c>
      <x:c r="F16" s="24" t="n">
        <x:f>IF($I16="No public API price","",SUMIF('Codex Costs'!$E$2:$E$134,$B16,'Codex Costs'!$O$2:$O$134)+SUMIF('Codex Costs'!$E$2:$E$134,$B16,'Codex Costs'!$R$2:$R$134))</x:f>
        <x:v>0</x:v>
      </x:c>
      <x:c r="G16" s="24" t="n">
        <x:f>IF($I16="No public API price","",SUMIF('Codex Costs'!$E$2:$E$134,$B16,'Codex Costs'!$U$2:$U$134))</x:f>
        <x:v>3780.49416</x:v>
      </x:c>
      <x:c r="H16" s="24" t="n">
        <x:f>IF($I16="No public API price","",SUM($D16:$G16))</x:f>
        <x:v>66883.18986</x:v>
      </x:c>
      <x:c r="I16" t="str">
        <x:f>'Pricing'!$C$9</x:f>
        <x:v>Published</x:v>
      </x:c>
    </x:row>
    <x:row r="17" ht="22" customHeight="1">
      <x:c r="A17" t="str">
        <x:v>Anthropic</x:v>
      </x:c>
      <x:c r="B17" t="str">
        <x:v>claude-fable-5</x:v>
      </x:c>
      <x:c r="C17" s="12" t="n">
        <x:f>SUMIF('Claude Costs'!$E$2:$E$43,$B17,'Claude Costs'!$W$2:$W$43)</x:f>
        <x:v>3161666536</x:v>
      </x:c>
      <x:c r="D17" s="24" t="n">
        <x:f>IF($I17="No public API price","",SUMIF('Claude Costs'!$E$2:$E$43,$B17,'Claude Costs'!$I$2:$I$43))</x:f>
        <x:v>6.98235</x:v>
      </x:c>
      <x:c r="E17" s="24" t="n">
        <x:f>IF($I17="No public API price","",SUMIF('Claude Costs'!$E$2:$E$43,$B17,'Claude Costs'!$L$2:$L$43))</x:f>
        <x:v>3071.7576919999997</x:v>
      </x:c>
      <x:c r="F17" s="24" t="n">
        <x:f>IF($I17="No public API price","",SUMIF('Claude Costs'!$E$2:$E$43,$B17,'Claude Costs'!$O$2:$O$43)+SUMIF('Claude Costs'!$E$2:$E$43,$B17,'Claude Costs'!$R$2:$R$43))</x:f>
        <x:v>1571.7033474999998</x:v>
      </x:c>
      <x:c r="G17" s="24" t="n">
        <x:f>IF($I17="No public API price","",SUMIF('Claude Costs'!$E$2:$E$43,$B17,'Claude Costs'!$U$2:$U$43))</x:f>
        <x:v>363.3462</x:v>
      </x:c>
      <x:c r="H17" s="24" t="n">
        <x:f>IF($I17="No public API price","",SUM($D17:$G17))</x:f>
        <x:v>5013.7895895</x:v>
      </x:c>
      <x:c r="I17" t="str">
        <x:f>'Pricing'!$C$10</x:f>
        <x:v>Published</x:v>
      </x:c>
    </x:row>
    <x:row r="18" ht="22" customHeight="1">
      <x:c r="A18" t="str">
        <x:v>Anthropic</x:v>
      </x:c>
      <x:c r="B18" t="str">
        <x:v>claude-haiku-4-5-20251001</x:v>
      </x:c>
      <x:c r="C18" s="12" t="n">
        <x:f>SUMIF('Claude Costs'!$E$2:$E$43,$B18,'Claude Costs'!$W$2:$W$43)</x:f>
        <x:v>1214001</x:v>
      </x:c>
      <x:c r="D18" s="24" t="n">
        <x:f>IF($I18="No public API price","",SUMIF('Claude Costs'!$E$2:$E$43,$B18,'Claude Costs'!$I$2:$I$43))</x:f>
        <x:v>0.000091</x:v>
      </x:c>
      <x:c r="E18" s="24" t="n">
        <x:f>IF($I18="No public API price","",SUMIF('Claude Costs'!$E$2:$E$43,$B18,'Claude Costs'!$L$2:$L$43))</x:f>
        <x:v>0.10967750000000001</x:v>
      </x:c>
      <x:c r="F18" s="24" t="n">
        <x:f>IF($I18="No public API price","",SUMIF('Claude Costs'!$E$2:$E$43,$B18,'Claude Costs'!$O$2:$O$43)+SUMIF('Claude Costs'!$E$2:$E$43,$B18,'Claude Costs'!$R$2:$R$43))</x:f>
        <x:v>0.13443125</x:v>
      </x:c>
      <x:c r="G18" s="24" t="n">
        <x:f>IF($I18="No public API price","",SUMIF('Claude Costs'!$E$2:$E$43,$B18,'Claude Costs'!$U$2:$U$43))</x:f>
        <x:v>0.04795</x:v>
      </x:c>
      <x:c r="H18" s="24" t="n">
        <x:f>IF($I18="No public API price","",SUM($D18:$G18))</x:f>
        <x:v>0.29214975</x:v>
      </x:c>
      <x:c r="I18" t="str">
        <x:f>'Pricing'!$C$11</x:f>
        <x:v>Published</x:v>
      </x:c>
    </x:row>
    <x:row r="19" ht="22" customHeight="1">
      <x:c r="A19" t="str">
        <x:v>Anthropic</x:v>
      </x:c>
      <x:c r="B19" t="str">
        <x:v>claude-opus-4-8</x:v>
      </x:c>
      <x:c r="C19" s="12" t="n">
        <x:f>SUMIF('Claude Costs'!$E$2:$E$43,$B19,'Claude Costs'!$W$2:$W$43)</x:f>
        <x:v>1405309121</x:v>
      </x:c>
      <x:c r="D19" s="24" t="n">
        <x:f>IF($I19="No public API price","",SUMIF('Claude Costs'!$E$2:$E$43,$B19,'Claude Costs'!$I$2:$I$43))</x:f>
        <x:v>143.61314500000003</x:v>
      </x:c>
      <x:c r="E19" s="24" t="n">
        <x:f>IF($I19="No public API price","",SUMIF('Claude Costs'!$E$2:$E$43,$B19,'Claude Costs'!$L$2:$L$43))</x:f>
        <x:v>627.9275654999999</x:v>
      </x:c>
      <x:c r="F19" s="24" t="n">
        <x:f>IF($I19="No public API price","",SUMIF('Claude Costs'!$E$2:$E$43,$B19,'Claude Costs'!$O$2:$O$43)+SUMIF('Claude Costs'!$E$2:$E$43,$B19,'Claude Costs'!$R$2:$R$43))</x:f>
        <x:v>695.5448775000001</x:v>
      </x:c>
      <x:c r="G19" s="24" t="n">
        <x:f>IF($I19="No public API price","",SUMIF('Claude Costs'!$E$2:$E$43,$B19,'Claude Costs'!$U$2:$U$43))</x:f>
        <x:v>381.04732499999994</x:v>
      </x:c>
      <x:c r="H19" s="24" t="n">
        <x:f>IF($I19="No public API price","",SUM($D19:$G19))</x:f>
        <x:v>1848.132913</x:v>
      </x:c>
      <x:c r="I19" t="str">
        <x:f>'Pricing'!$C$12</x:f>
        <x:v>Published</x:v>
      </x:c>
    </x:row>
    <x:row r="20" ht="22" customHeight="1">
      <x:c r="A20" t="str">
        <x:v>Anthropic</x:v>
      </x:c>
      <x:c r="B20" t="str">
        <x:v>claude-sonnet-5</x:v>
      </x:c>
      <x:c r="C20" s="12" t="n">
        <x:f>SUMIF('Claude Costs'!$E$2:$E$43,$B20,'Claude Costs'!$W$2:$W$43)</x:f>
        <x:v>43942601</x:v>
      </x:c>
      <x:c r="D20" s="24" t="n">
        <x:f>IF($I20="No public API price","",SUMIF('Claude Costs'!$E$2:$E$43,$B20,'Claude Costs'!$I$2:$I$43))</x:f>
        <x:v>0.29027400000000003</x:v>
      </x:c>
      <x:c r="E20" s="24" t="n">
        <x:f>IF($I20="No public API price","",SUMIF('Claude Costs'!$E$2:$E$43,$B20,'Claude Costs'!$L$2:$L$43))</x:f>
        <x:v>8.402361800000001</x:v>
      </x:c>
      <x:c r="F20" s="24" t="n">
        <x:f>IF($I20="No public API price","",SUMIF('Claude Costs'!$E$2:$E$43,$B20,'Claude Costs'!$O$2:$O$43)+SUMIF('Claude Costs'!$E$2:$E$43,$B20,'Claude Costs'!$R$2:$R$43))</x:f>
        <x:v>3.9065630000000002</x:v>
      </x:c>
      <x:c r="G20" s="24" t="n">
        <x:f>IF($I20="No public API price","",SUMIF('Claude Costs'!$E$2:$E$43,$B20,'Claude Costs'!$U$2:$U$43))</x:f>
        <x:v>3.00989</x:v>
      </x:c>
      <x:c r="H20" s="24" t="n">
        <x:f>IF($I20="No public API price","",SUM($D20:$G20))</x:f>
        <x:v>15.609088800000002</x:v>
      </x:c>
      <x:c r="I20" t="str">
        <x:f>'Pricing'!$C$13</x:f>
        <x:v>Published</x:v>
      </x:c>
    </x:row>
  </x:sheetData>
  <x:mergeCells>
    <x:mergeCell ref="A1:I1"/>
    <x:mergeCell ref="A2:I2"/>
    <x:mergeCell ref="A4:B4"/>
    <x:mergeCell ref="D4:E4"/>
    <x:mergeCell ref="G4:H4"/>
    <x:mergeCell ref="A5:B5"/>
    <x:mergeCell ref="D5:E5"/>
    <x:mergeCell ref="G5:H5"/>
  </x:mergeCells>
  <x:pageMargins left="0.7" right="0.7" top="0.75" bottom="0.75" header="0.3" footer="0.3"/>
  <x:drawing xmlns:r="http://schemas.openxmlformats.org/officeDocument/2006/relationships" r:id="R9bb0b7e0abf748c3"/>
  <x:tableParts count="1">
    <x:tablePart xmlns:r="http://schemas.openxmlformats.org/officeDocument/2006/relationships" r:id="Rc6327f55451f46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  <x:col min="10" max="10" width="48" hidden="0" customWidth="1"/>
    <x:col min="12" max="12" width="23" hidden="0" customWidth="1"/>
    <x:col min="13" max="13" width="16" hidden="0" customWidth="1"/>
  </x:cols>
  <x:sheetData>
    <x:row r="1">
      <x:c r="A1" s="13" t="str">
        <x:v>provider</x:v>
      </x:c>
      <x:c r="B1" s="13" t="str">
        <x:v>model</x:v>
      </x:c>
      <x:c r="C1" s="13" t="str">
        <x:v>pricing_status</x:v>
      </x:c>
      <x:c r="D1" s="13" t="str">
        <x:v>base_input_$/1m</x:v>
      </x:c>
      <x:c r="E1" s="13" t="str">
        <x:v>cache_read_$/1m</x:v>
      </x:c>
      <x:c r="F1" s="13" t="str">
        <x:v>cache_write_5m_$/1m</x:v>
      </x:c>
      <x:c r="G1" s="13" t="str">
        <x:v>cache_write_1h_$/1m</x:v>
      </x:c>
      <x:c r="H1" s="13" t="str">
        <x:v>output_$/1m</x:v>
      </x:c>
      <x:c r="I1" s="13" t="str">
        <x:v>notes</x:v>
      </x:c>
      <x:c r="J1" s="13" t="str">
        <x:v>source_url</x:v>
      </x:c>
      <x:c r="L1" s="10" t="str">
        <x:v>assumption</x:v>
      </x:c>
      <x:c r="M1" s="10" t="str">
        <x:v>value</x:v>
      </x:c>
    </x:row>
    <x:row r="2" ht="48" customHeight="1">
      <x:c r="A2" s="14" t="str">
        <x:v>OpenAI</x:v>
      </x:c>
      <x:c r="B2" s="14" t="str">
        <x:v>gpt-5.2</x:v>
      </x:c>
      <x:c r="C2" s="14" t="str">
        <x:v>Published</x:v>
      </x:c>
      <x:c r="D2" s="15" t="n">
        <x:v>1.75</x:v>
      </x:c>
      <x:c r="E2" s="15" t="n">
        <x:v>0.175</x:v>
      </x:c>
      <x:c r="F2" s="15"/>
      <x:c r="G2" s="15"/>
      <x:c r="H2" s="15" t="n">
        <x:v>14</x:v>
      </x:c>
      <x:c r="I2" s="16" t="str">
        <x:v>Standard API list price. Reasoning tokens are included in output tokens. No cache-write tokens were recorded.</x:v>
      </x:c>
      <x:c r="J2" s="16" t="str">
        <x:v>https://developers.openai.com/api/docs/models/gpt-5.2</x:v>
      </x:c>
      <x:c r="L2" t="str">
        <x:v>rate_basis_tokens</x:v>
      </x:c>
      <x:c r="M2" s="12" t="n">
        <x:v>1000000</x:v>
      </x:c>
    </x:row>
    <x:row r="3" ht="48" customHeight="1">
      <x:c r="A3" s="14" t="str">
        <x:v>OpenAI</x:v>
      </x:c>
      <x:c r="B3" s="14" t="str">
        <x:v>gpt-5.2-codex</x:v>
      </x:c>
      <x:c r="C3" s="14" t="str">
        <x:v>Published</x:v>
      </x:c>
      <x:c r="D3" s="15" t="n">
        <x:v>1.75</x:v>
      </x:c>
      <x:c r="E3" s="15" t="n">
        <x:v>0.175</x:v>
      </x:c>
      <x:c r="F3" s="15"/>
      <x:c r="G3" s="15"/>
      <x:c r="H3" s="15" t="n">
        <x:v>14</x:v>
      </x:c>
      <x:c r="I3" s="16" t="str">
        <x:v>Standard API list price. Reasoning tokens are included in output tokens. No cache-write tokens were recorded.</x:v>
      </x:c>
      <x:c r="J3" s="16" t="str">
        <x:v>https://developers.openai.com/api/docs/models/gpt-5.2-codex</x:v>
      </x:c>
    </x:row>
    <x:row r="4" ht="48" customHeight="1">
      <x:c r="A4" s="14" t="str">
        <x:v>OpenAI</x:v>
      </x:c>
      <x:c r="B4" s="14" t="str">
        <x:v>gpt-5.3-codex</x:v>
      </x:c>
      <x:c r="C4" s="14" t="str">
        <x:v>Published</x:v>
      </x:c>
      <x:c r="D4" s="15" t="n">
        <x:v>1.75</x:v>
      </x:c>
      <x:c r="E4" s="15" t="n">
        <x:v>0.175</x:v>
      </x:c>
      <x:c r="F4" s="15"/>
      <x:c r="G4" s="15"/>
      <x:c r="H4" s="15" t="n">
        <x:v>14</x:v>
      </x:c>
      <x:c r="I4" s="16" t="str">
        <x:v>Standard API list price. Reasoning tokens are included in output tokens. No cache-write tokens were recorded.</x:v>
      </x:c>
      <x:c r="J4" s="16" t="str">
        <x:v>https://developers.openai.com/api/docs/models/gpt-5.3-codex</x:v>
      </x:c>
    </x:row>
    <x:row r="5" ht="48" customHeight="1">
      <x:c r="A5" s="14" t="str">
        <x:v>OpenAI</x:v>
      </x:c>
      <x:c r="B5" s="14" t="str">
        <x:v>gpt-5.3-codex-spark</x:v>
      </x:c>
      <x:c r="C5" s="14" t="str">
        <x:v>User-selected proxy</x:v>
      </x:c>
      <x:c r="D5" s="15" t="n">
        <x:v>1.75</x:v>
      </x:c>
      <x:c r="E5" s="15" t="n">
        <x:v>0.175</x:v>
      </x:c>
      <x:c r="F5" s="15"/>
      <x:c r="G5" s="15"/>
      <x:c r="H5" s="15" t="n">
        <x:v>14</x:v>
      </x:c>
      <x:c r="I5" s="16" t="str">
        <x:v>Uses GPT-5.3-Codex standard API pricing as requested. Spark itself has no separately published API token price.</x:v>
      </x:c>
      <x:c r="J5" s="16" t="str">
        <x:v>https://developers.openai.com/api/docs/models/gpt-5.3-codex</x:v>
      </x:c>
    </x:row>
    <x:row r="6" ht="48" customHeight="1">
      <x:c r="A6" s="14" t="str">
        <x:v>OpenAI</x:v>
      </x:c>
      <x:c r="B6" s="14" t="str">
        <x:v>gpt-5.4</x:v>
      </x:c>
      <x:c r="C6" s="14" t="str">
        <x:v>Published</x:v>
      </x:c>
      <x:c r="D6" s="15" t="n">
        <x:v>2.5</x:v>
      </x:c>
      <x:c r="E6" s="15" t="n">
        <x:v>0.25</x:v>
      </x:c>
      <x:c r="F6" s="15"/>
      <x:c r="G6" s="15"/>
      <x:c r="H6" s="15" t="n">
        <x:v>15</x:v>
      </x:c>
      <x:c r="I6" s="16" t="str">
        <x:v>Standard API list price. Reasoning tokens are included in output tokens. No cache-write tokens were recorded.</x:v>
      </x:c>
      <x:c r="J6" s="16" t="str">
        <x:v>https://developers.openai.com/api/docs/models/gpt-5.4</x:v>
      </x:c>
    </x:row>
    <x:row r="7" ht="48" customHeight="1">
      <x:c r="A7" s="14" t="str">
        <x:v>OpenAI</x:v>
      </x:c>
      <x:c r="B7" s="14" t="str">
        <x:v>gpt-5.5</x:v>
      </x:c>
      <x:c r="C7" s="14" t="str">
        <x:v>Published</x:v>
      </x:c>
      <x:c r="D7" s="15" t="n">
        <x:v>5</x:v>
      </x:c>
      <x:c r="E7" s="15" t="n">
        <x:v>0.5</x:v>
      </x:c>
      <x:c r="F7" s="15"/>
      <x:c r="G7" s="15"/>
      <x:c r="H7" s="15" t="n">
        <x:v>30</x:v>
      </x:c>
      <x:c r="I7" s="16" t="str">
        <x:v>Standard API list price. Reasoning tokens are included in output tokens. No cache-write tokens were recorded.</x:v>
      </x:c>
      <x:c r="J7" s="16" t="str">
        <x:v>https://developers.openai.com/api/docs/models/gpt-5.5</x:v>
      </x:c>
    </x:row>
    <x:row r="8" ht="48" customHeight="1">
      <x:c r="A8" s="14" t="str">
        <x:v>OpenAI</x:v>
      </x:c>
      <x:c r="B8" s="14" t="str">
        <x:v>gpt-5.6-luna</x:v>
      </x:c>
      <x:c r="C8" s="14" t="str">
        <x:v>Published</x:v>
      </x:c>
      <x:c r="D8" s="15" t="n">
        <x:v>1</x:v>
      </x:c>
      <x:c r="E8" s="15" t="n">
        <x:v>0.1</x:v>
      </x:c>
      <x:c r="F8" s="15" t="n">
        <x:v>1.25</x:v>
      </x:c>
      <x:c r="G8" s="15" t="n">
        <x:v>1.25</x:v>
      </x:c>
      <x:c r="H8" s="15" t="n">
        <x:v>6</x:v>
      </x:c>
      <x:c r="I8" s="16" t="str">
        <x:v>Standard API list price. OpenAI publishes one cache-write rate (1.25x base), shown in both write columns. Recorded writes are zero.</x:v>
      </x:c>
      <x:c r="J8" s="16" t="str">
        <x:v>https://openai.com/index/gpt-5-6/</x:v>
      </x:c>
    </x:row>
    <x:row r="9" ht="48" customHeight="1">
      <x:c r="A9" s="14" t="str">
        <x:v>OpenAI</x:v>
      </x:c>
      <x:c r="B9" s="14" t="str">
        <x:v>gpt-5.6-sol</x:v>
      </x:c>
      <x:c r="C9" s="14" t="str">
        <x:v>Published</x:v>
      </x:c>
      <x:c r="D9" s="15" t="n">
        <x:v>5</x:v>
      </x:c>
      <x:c r="E9" s="15" t="n">
        <x:v>0.5</x:v>
      </x:c>
      <x:c r="F9" s="15" t="n">
        <x:v>6.25</x:v>
      </x:c>
      <x:c r="G9" s="15" t="n">
        <x:v>6.25</x:v>
      </x:c>
      <x:c r="H9" s="15" t="n">
        <x:v>30</x:v>
      </x:c>
      <x:c r="I9" s="16" t="str">
        <x:v>Standard API list price. OpenAI publishes one cache-write rate (1.25x base), shown in both write columns. Recorded writes are zero.</x:v>
      </x:c>
      <x:c r="J9" s="16" t="str">
        <x:v>https://openai.com/index/gpt-5-6/</x:v>
      </x:c>
    </x:row>
    <x:row r="10" ht="48" customHeight="1">
      <x:c r="A10" s="14" t="str">
        <x:v>Anthropic</x:v>
      </x:c>
      <x:c r="B10" s="14" t="str">
        <x:v>claude-fable-5</x:v>
      </x:c>
      <x:c r="C10" s="14" t="str">
        <x:v>Published</x:v>
      </x:c>
      <x:c r="D10" s="15" t="n">
        <x:v>10</x:v>
      </x:c>
      <x:c r="E10" s="15" t="n">
        <x:v>1</x:v>
      </x:c>
      <x:c r="F10" s="15" t="n">
        <x:v>12.5</x:v>
      </x:c>
      <x:c r="G10" s="15" t="n">
        <x:v>20</x:v>
      </x:c>
      <x:c r="H10" s="15" t="n">
        <x:v>50</x:v>
      </x:c>
      <x:c r="I10" s="16" t="str">
        <x:v>Standard first-party global API list price.</x:v>
      </x:c>
      <x:c r="J10" s="16" t="str">
        <x:v>https://platform.claude.com/docs/en/about-claude/pricing</x:v>
      </x:c>
    </x:row>
    <x:row r="11" ht="48" customHeight="1">
      <x:c r="A11" s="14" t="str">
        <x:v>Anthropic</x:v>
      </x:c>
      <x:c r="B11" s="14" t="str">
        <x:v>claude-haiku-4-5-20251001</x:v>
      </x:c>
      <x:c r="C11" s="14" t="str">
        <x:v>Published</x:v>
      </x:c>
      <x:c r="D11" s="15" t="n">
        <x:v>1</x:v>
      </x:c>
      <x:c r="E11" s="15" t="n">
        <x:v>0.1</x:v>
      </x:c>
      <x:c r="F11" s="15" t="n">
        <x:v>1.25</x:v>
      </x:c>
      <x:c r="G11" s="15" t="n">
        <x:v>2</x:v>
      </x:c>
      <x:c r="H11" s="15" t="n">
        <x:v>5</x:v>
      </x:c>
      <x:c r="I11" s="16" t="str">
        <x:v>Standard first-party global API list price for Claude Haiku 4.5.</x:v>
      </x:c>
      <x:c r="J11" s="16" t="str">
        <x:v>https://platform.claude.com/docs/en/about-claude/pricing</x:v>
      </x:c>
    </x:row>
    <x:row r="12" ht="48" customHeight="1">
      <x:c r="A12" s="14" t="str">
        <x:v>Anthropic</x:v>
      </x:c>
      <x:c r="B12" s="14" t="str">
        <x:v>claude-opus-4-8</x:v>
      </x:c>
      <x:c r="C12" s="14" t="str">
        <x:v>Published</x:v>
      </x:c>
      <x:c r="D12" s="15" t="n">
        <x:v>5</x:v>
      </x:c>
      <x:c r="E12" s="15" t="n">
        <x:v>0.5</x:v>
      </x:c>
      <x:c r="F12" s="15" t="n">
        <x:v>6.25</x:v>
      </x:c>
      <x:c r="G12" s="15" t="n">
        <x:v>10</x:v>
      </x:c>
      <x:c r="H12" s="15" t="n">
        <x:v>25</x:v>
      </x:c>
      <x:c r="I12" s="16" t="str">
        <x:v>Standard first-party global API list price.</x:v>
      </x:c>
      <x:c r="J12" s="16" t="str">
        <x:v>https://platform.claude.com/docs/en/about-claude/pricing</x:v>
      </x:c>
    </x:row>
    <x:row r="13" ht="48" customHeight="1">
      <x:c r="A13" s="14" t="str">
        <x:v>Anthropic</x:v>
      </x:c>
      <x:c r="B13" s="14" t="str">
        <x:v>claude-sonnet-5</x:v>
      </x:c>
      <x:c r="C13" s="14" t="str">
        <x:v>Published</x:v>
      </x:c>
      <x:c r="D13" s="15" t="n">
        <x:v>2</x:v>
      </x:c>
      <x:c r="E13" s="15" t="n">
        <x:v>0.2</x:v>
      </x:c>
      <x:c r="F13" s="15" t="n">
        <x:v>2.5</x:v>
      </x:c>
      <x:c r="G13" s="15" t="n">
        <x:v>4</x:v>
      </x:c>
      <x:c r="H13" s="15" t="n">
        <x:v>10</x:v>
      </x:c>
      <x:c r="I13" s="16" t="str">
        <x:v>Introductory standard price through 2026-08-31, covering all usage dates in this workbook.</x:v>
      </x:c>
      <x:c r="J13" s="16" t="str">
        <x:v>https://platform.claude.com/docs/en/about-claude/pricing</x:v>
      </x:c>
    </x:row>
  </x:sheetData>
  <x:pageMargins left="0.7" right="0.7" top="0.75" bottom="0.75" header="0.3" footer="0.3"/>
  <x:tableParts count="1">
    <x:tablePart xmlns:r="http://schemas.openxmlformats.org/officeDocument/2006/relationships" r:id="R5ba5521b3f734c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2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2" hidden="0" customWidth="1"/>
  </x:cols>
  <x:sheetData>
    <x:row r="1" ht="42" customHeight="1">
      <x:c r="A1" s="21" t="str">
        <x:v>date</x:v>
      </x:c>
      <x:c r="B1" s="21" t="str">
        <x:v>month</x:v>
      </x:c>
      <x:c r="C1" s="21" t="str">
        <x:v>year</x:v>
      </x:c>
      <x:c r="D1" s="21" t="str">
        <x:v>provider</x:v>
      </x:c>
      <x:c r="E1" s="21" t="str">
        <x:v>model</x:v>
      </x:c>
      <x:c r="F1" s="21" t="str">
        <x:v>total_input_tokens</x:v>
      </x:c>
      <x:c r="G1" s="21" t="str">
        <x:v>base_input_tokens</x:v>
      </x:c>
      <x:c r="H1" s="21" t="str">
        <x:v>base_input_rate_per_1m</x:v>
      </x:c>
      <x:c r="I1" s="21" t="str">
        <x:v>base_input_cost_usd</x:v>
      </x:c>
      <x:c r="J1" s="21" t="str">
        <x:v>cache_read_tokens</x:v>
      </x:c>
      <x:c r="K1" s="21" t="str">
        <x:v>cache_read_rate_per_1m</x:v>
      </x:c>
      <x:c r="L1" s="21" t="str">
        <x:v>cache_read_cost_usd</x:v>
      </x:c>
      <x:c r="M1" s="21" t="str">
        <x:v>cache_write_5m_tokens</x:v>
      </x:c>
      <x:c r="N1" s="21" t="str">
        <x:v>cache_write_5m_rate_per_1m</x:v>
      </x:c>
      <x:c r="O1" s="21" t="str">
        <x:v>cache_write_5m_cost_usd</x:v>
      </x:c>
      <x:c r="P1" s="21" t="str">
        <x:v>cache_write_1h_tokens</x:v>
      </x:c>
      <x:c r="Q1" s="21" t="str">
        <x:v>cache_write_1h_rate_per_1m</x:v>
      </x:c>
      <x:c r="R1" s="21" t="str">
        <x:v>cache_write_1h_cost_usd</x:v>
      </x:c>
      <x:c r="S1" s="21" t="str">
        <x:v>output_tokens</x:v>
      </x:c>
      <x:c r="T1" s="21" t="str">
        <x:v>output_rate_per_1m</x:v>
      </x:c>
      <x:c r="U1" s="21" t="str">
        <x:v>output_cost_usd</x:v>
      </x:c>
      <x:c r="V1" s="21" t="str">
        <x:v>reasoning_output_tokens_included_in_output</x:v>
      </x:c>
      <x:c r="W1" s="21" t="str">
        <x:v>total_tokens</x:v>
      </x:c>
      <x:c r="X1" s="21" t="str">
        <x:v>total_cost_usd</x:v>
      </x:c>
      <x:c r="Y1" s="21" t="str">
        <x:v>pricing_status</x:v>
      </x:c>
    </x:row>
    <x:row r="2" ht="20" customHeight="1">
      <x:c r="A2" s="25" t="str">
        <x:v>2026-02-03</x:v>
      </x:c>
      <x:c r="B2" s="26" t="str">
        <x:v>February</x:v>
      </x:c>
      <x:c r="C2" s="27" t="n">
        <x:v>2026</x:v>
      </x:c>
      <x:c r="D2" s="26" t="str">
        <x:v>OpenAI</x:v>
      </x:c>
      <x:c r="E2" s="26" t="str">
        <x:v>gpt-5.2-codex</x:v>
      </x:c>
      <x:c r="F2" s="28" t="n">
        <x:v>11706694</x:v>
      </x:c>
      <x:c r="G2" s="28" t="n">
        <x:v>707782</x:v>
      </x:c>
      <x:c r="H2" s="29" t="n">
        <x:f>'Pricing'!$D$3</x:f>
        <x:v>1.75</x:v>
      </x:c>
      <x:c r="I2" s="30" t="n">
        <x:f>IF($Y2="No public API price","",$G2/'Pricing'!$M$2*$H2)</x:f>
        <x:v>1.2386185</x:v>
      </x:c>
      <x:c r="J2" s="28" t="n">
        <x:v>10998912</x:v>
      </x:c>
      <x:c r="K2" s="29" t="n">
        <x:f>'Pricing'!$E$3</x:f>
        <x:v>0.175</x:v>
      </x:c>
      <x:c r="L2" s="30" t="n">
        <x:f>IF($Y2="No public API price","",$J2/'Pricing'!$M$2*$K2)</x:f>
        <x:v>1.9248096</x:v>
      </x:c>
      <x:c r="M2" s="28" t="n">
        <x:v>0</x:v>
      </x:c>
      <x:c r="N2" s="29" t="n">
        <x:f>'Pricing'!$F$3</x:f>
        <x:v>0</x:v>
      </x:c>
      <x:c r="O2" s="30" t="n">
        <x:f>IF($Y2="No public API price","",$M2/'Pricing'!$M$2*$N2)</x:f>
        <x:v>0</x:v>
      </x:c>
      <x:c r="P2" s="28" t="n">
        <x:v>0</x:v>
      </x:c>
      <x:c r="Q2" s="29" t="n">
        <x:f>'Pricing'!$G$3</x:f>
        <x:v>0</x:v>
      </x:c>
      <x:c r="R2" s="30" t="n">
        <x:f>IF($Y2="No public API price","",$P2/'Pricing'!$M$2*$Q2)</x:f>
        <x:v>0</x:v>
      </x:c>
      <x:c r="S2" s="28" t="n">
        <x:v>41981</x:v>
      </x:c>
      <x:c r="T2" s="29" t="n">
        <x:f>'Pricing'!$H$3</x:f>
        <x:v>14</x:v>
      </x:c>
      <x:c r="U2" s="30" t="n">
        <x:f>IF($Y2="No public API price","",$S2/'Pricing'!$M$2*$T2)</x:f>
        <x:v>0.587734</x:v>
      </x:c>
      <x:c r="V2" s="28" t="n">
        <x:v>20736</x:v>
      </x:c>
      <x:c r="W2" s="28" t="n">
        <x:v>11748675</x:v>
      </x:c>
      <x:c r="X2" s="30" t="n">
        <x:f>IF($Y2="No public API price","",SUM($I2,$L2,$O2,$R2,$U2))</x:f>
        <x:v>3.7511621</x:v>
      </x:c>
      <x:c r="Y2" s="26" t="str">
        <x:f>'Pricing'!$C$3</x:f>
        <x:v>Published</x:v>
      </x:c>
    </x:row>
    <x:row r="3" ht="20" customHeight="1">
      <x:c r="A3" s="25" t="str">
        <x:v>2026-02-04</x:v>
      </x:c>
      <x:c r="B3" s="26" t="str">
        <x:v>February</x:v>
      </x:c>
      <x:c r="C3" s="27" t="n">
        <x:v>2026</x:v>
      </x:c>
      <x:c r="D3" s="26" t="str">
        <x:v>OpenAI</x:v>
      </x:c>
      <x:c r="E3" s="26" t="str">
        <x:v>gpt-5.2-codex</x:v>
      </x:c>
      <x:c r="F3" s="28" t="n">
        <x:v>9979667</x:v>
      </x:c>
      <x:c r="G3" s="28" t="n">
        <x:v>1046291</x:v>
      </x:c>
      <x:c r="H3" s="29" t="n">
        <x:f>'Pricing'!$D$3</x:f>
        <x:v>1.75</x:v>
      </x:c>
      <x:c r="I3" s="30" t="n">
        <x:f>IF($Y3="No public API price","",$G3/'Pricing'!$M$2*$H3)</x:f>
        <x:v>1.8310092500000001</x:v>
      </x:c>
      <x:c r="J3" s="28" t="n">
        <x:v>8933376</x:v>
      </x:c>
      <x:c r="K3" s="29" t="n">
        <x:f>'Pricing'!$E$3</x:f>
        <x:v>0.175</x:v>
      </x:c>
      <x:c r="L3" s="30" t="n">
        <x:f>IF($Y3="No public API price","",$J3/'Pricing'!$M$2*$K3)</x:f>
        <x:v>1.5633408</x:v>
      </x:c>
      <x:c r="M3" s="28" t="n">
        <x:v>0</x:v>
      </x:c>
      <x:c r="N3" s="29" t="n">
        <x:f>'Pricing'!$F$3</x:f>
        <x:v>0</x:v>
      </x:c>
      <x:c r="O3" s="30" t="n">
        <x:f>IF($Y3="No public API price","",$M3/'Pricing'!$M$2*$N3)</x:f>
        <x:v>0</x:v>
      </x:c>
      <x:c r="P3" s="28" t="n">
        <x:v>0</x:v>
      </x:c>
      <x:c r="Q3" s="29" t="n">
        <x:f>'Pricing'!$G$3</x:f>
        <x:v>0</x:v>
      </x:c>
      <x:c r="R3" s="30" t="n">
        <x:f>IF($Y3="No public API price","",$P3/'Pricing'!$M$2*$Q3)</x:f>
        <x:v>0</x:v>
      </x:c>
      <x:c r="S3" s="28" t="n">
        <x:v>49634</x:v>
      </x:c>
      <x:c r="T3" s="29" t="n">
        <x:f>'Pricing'!$H$3</x:f>
        <x:v>14</x:v>
      </x:c>
      <x:c r="U3" s="30" t="n">
        <x:f>IF($Y3="No public API price","",$S3/'Pricing'!$M$2*$T3)</x:f>
        <x:v>0.6948759999999999</x:v>
      </x:c>
      <x:c r="V3" s="28" t="n">
        <x:v>24960</x:v>
      </x:c>
      <x:c r="W3" s="28" t="n">
        <x:v>10029301</x:v>
      </x:c>
      <x:c r="X3" s="30" t="n">
        <x:f>IF($Y3="No public API price","",SUM($I3,$L3,$O3,$R3,$U3))</x:f>
        <x:v>4.08922605</x:v>
      </x:c>
      <x:c r="Y3" s="26" t="str">
        <x:f>'Pricing'!$C$3</x:f>
        <x:v>Published</x:v>
      </x:c>
    </x:row>
    <x:row r="4" ht="20" customHeight="1">
      <x:c r="A4" s="25" t="str">
        <x:v>2026-02-05</x:v>
      </x:c>
      <x:c r="B4" s="26" t="str">
        <x:v>February</x:v>
      </x:c>
      <x:c r="C4" s="27" t="n">
        <x:v>2026</x:v>
      </x:c>
      <x:c r="D4" s="26" t="str">
        <x:v>OpenAI</x:v>
      </x:c>
      <x:c r="E4" s="26" t="str">
        <x:v>gpt-5.3-codex</x:v>
      </x:c>
      <x:c r="F4" s="28" t="n">
        <x:v>18033868</x:v>
      </x:c>
      <x:c r="G4" s="28" t="n">
        <x:v>467660</x:v>
      </x:c>
      <x:c r="H4" s="29" t="n">
        <x:f>'Pricing'!$D$4</x:f>
        <x:v>1.75</x:v>
      </x:c>
      <x:c r="I4" s="30" t="n">
        <x:f>IF($Y4="No public API price","",$G4/'Pricing'!$M$2*$H4)</x:f>
        <x:v>0.818405</x:v>
      </x:c>
      <x:c r="J4" s="28" t="n">
        <x:v>17566208</x:v>
      </x:c>
      <x:c r="K4" s="29" t="n">
        <x:f>'Pricing'!$E$4</x:f>
        <x:v>0.175</x:v>
      </x:c>
      <x:c r="L4" s="30" t="n">
        <x:f>IF($Y4="No public API price","",$J4/'Pricing'!$M$2*$K4)</x:f>
        <x:v>3.0740863999999997</x:v>
      </x:c>
      <x:c r="M4" s="28" t="n">
        <x:v>0</x:v>
      </x:c>
      <x:c r="N4" s="29" t="n">
        <x:f>'Pricing'!$F$4</x:f>
        <x:v>0</x:v>
      </x:c>
      <x:c r="O4" s="30" t="n">
        <x:f>IF($Y4="No public API price","",$M4/'Pricing'!$M$2*$N4)</x:f>
        <x:v>0</x:v>
      </x:c>
      <x:c r="P4" s="28" t="n">
        <x:v>0</x:v>
      </x:c>
      <x:c r="Q4" s="29" t="n">
        <x:f>'Pricing'!$G$4</x:f>
        <x:v>0</x:v>
      </x:c>
      <x:c r="R4" s="30" t="n">
        <x:f>IF($Y4="No public API price","",$P4/'Pricing'!$M$2*$Q4)</x:f>
        <x:v>0</x:v>
      </x:c>
      <x:c r="S4" s="28" t="n">
        <x:v>148398</x:v>
      </x:c>
      <x:c r="T4" s="29" t="n">
        <x:f>'Pricing'!$H$4</x:f>
        <x:v>14</x:v>
      </x:c>
      <x:c r="U4" s="30" t="n">
        <x:f>IF($Y4="No public API price","",$S4/'Pricing'!$M$2*$T4)</x:f>
        <x:v>2.077572</x:v>
      </x:c>
      <x:c r="V4" s="28" t="n">
        <x:v>109778</x:v>
      </x:c>
      <x:c r="W4" s="28" t="n">
        <x:v>18182266</x:v>
      </x:c>
      <x:c r="X4" s="30" t="n">
        <x:f>IF($Y4="No public API price","",SUM($I4,$L4,$O4,$R4,$U4))</x:f>
        <x:v>5.9700634</x:v>
      </x:c>
      <x:c r="Y4" s="26" t="str">
        <x:f>'Pricing'!$C$4</x:f>
        <x:v>Published</x:v>
      </x:c>
    </x:row>
    <x:row r="5" ht="20" customHeight="1">
      <x:c r="A5" s="25" t="str">
        <x:v>2026-02-06</x:v>
      </x:c>
      <x:c r="B5" s="26" t="str">
        <x:v>February</x:v>
      </x:c>
      <x:c r="C5" s="27" t="n">
        <x:v>2026</x:v>
      </x:c>
      <x:c r="D5" s="26" t="str">
        <x:v>OpenAI</x:v>
      </x:c>
      <x:c r="E5" s="26" t="str">
        <x:v>gpt-5.3-codex</x:v>
      </x:c>
      <x:c r="F5" s="28" t="n">
        <x:v>1264169</x:v>
      </x:c>
      <x:c r="G5" s="28" t="n">
        <x:v>160041</x:v>
      </x:c>
      <x:c r="H5" s="29" t="n">
        <x:f>'Pricing'!$D$4</x:f>
        <x:v>1.75</x:v>
      </x:c>
      <x:c r="I5" s="30" t="n">
        <x:f>IF($Y5="No public API price","",$G5/'Pricing'!$M$2*$H5)</x:f>
        <x:v>0.28007174999999995</x:v>
      </x:c>
      <x:c r="J5" s="28" t="n">
        <x:v>1104128</x:v>
      </x:c>
      <x:c r="K5" s="29" t="n">
        <x:f>'Pricing'!$E$4</x:f>
        <x:v>0.175</x:v>
      </x:c>
      <x:c r="L5" s="30" t="n">
        <x:f>IF($Y5="No public API price","",$J5/'Pricing'!$M$2*$K5)</x:f>
        <x:v>0.1932224</x:v>
      </x:c>
      <x:c r="M5" s="28" t="n">
        <x:v>0</x:v>
      </x:c>
      <x:c r="N5" s="29" t="n">
        <x:f>'Pricing'!$F$4</x:f>
        <x:v>0</x:v>
      </x:c>
      <x:c r="O5" s="30" t="n">
        <x:f>IF($Y5="No public API price","",$M5/'Pricing'!$M$2*$N5)</x:f>
        <x:v>0</x:v>
      </x:c>
      <x:c r="P5" s="28" t="n">
        <x:v>0</x:v>
      </x:c>
      <x:c r="Q5" s="29" t="n">
        <x:f>'Pricing'!$G$4</x:f>
        <x:v>0</x:v>
      </x:c>
      <x:c r="R5" s="30" t="n">
        <x:f>IF($Y5="No public API price","",$P5/'Pricing'!$M$2*$Q5)</x:f>
        <x:v>0</x:v>
      </x:c>
      <x:c r="S5" s="28" t="n">
        <x:v>20932</x:v>
      </x:c>
      <x:c r="T5" s="29" t="n">
        <x:f>'Pricing'!$H$4</x:f>
        <x:v>14</x:v>
      </x:c>
      <x:c r="U5" s="30" t="n">
        <x:f>IF($Y5="No public API price","",$S5/'Pricing'!$M$2*$T5)</x:f>
        <x:v>0.293048</x:v>
      </x:c>
      <x:c r="V5" s="28" t="n">
        <x:v>11749</x:v>
      </x:c>
      <x:c r="W5" s="28" t="n">
        <x:v>1285101</x:v>
      </x:c>
      <x:c r="X5" s="30" t="n">
        <x:f>IF($Y5="No public API price","",SUM($I5,$L5,$O5,$R5,$U5))</x:f>
        <x:v>0.7663421499999999</x:v>
      </x:c>
      <x:c r="Y5" s="26" t="str">
        <x:f>'Pricing'!$C$4</x:f>
        <x:v>Published</x:v>
      </x:c>
    </x:row>
    <x:row r="6" ht="20" customHeight="1">
      <x:c r="A6" s="25" t="str">
        <x:v>2026-02-07</x:v>
      </x:c>
      <x:c r="B6" s="26" t="str">
        <x:v>February</x:v>
      </x:c>
      <x:c r="C6" s="27" t="n">
        <x:v>2026</x:v>
      </x:c>
      <x:c r="D6" s="26" t="str">
        <x:v>OpenAI</x:v>
      </x:c>
      <x:c r="E6" s="26" t="str">
        <x:v>gpt-5.3-codex</x:v>
      </x:c>
      <x:c r="F6" s="28" t="n">
        <x:v>54183507</x:v>
      </x:c>
      <x:c r="G6" s="28" t="n">
        <x:v>2909907</x:v>
      </x:c>
      <x:c r="H6" s="29" t="n">
        <x:f>'Pricing'!$D$4</x:f>
        <x:v>1.75</x:v>
      </x:c>
      <x:c r="I6" s="30" t="n">
        <x:f>IF($Y6="No public API price","",$G6/'Pricing'!$M$2*$H6)</x:f>
        <x:v>5.09233725</x:v>
      </x:c>
      <x:c r="J6" s="28" t="n">
        <x:v>51273600</x:v>
      </x:c>
      <x:c r="K6" s="29" t="n">
        <x:f>'Pricing'!$E$4</x:f>
        <x:v>0.175</x:v>
      </x:c>
      <x:c r="L6" s="30" t="n">
        <x:f>IF($Y6="No public API price","",$J6/'Pricing'!$M$2*$K6)</x:f>
        <x:v>8.97288</x:v>
      </x:c>
      <x:c r="M6" s="28" t="n">
        <x:v>0</x:v>
      </x:c>
      <x:c r="N6" s="29" t="n">
        <x:f>'Pricing'!$F$4</x:f>
        <x:v>0</x:v>
      </x:c>
      <x:c r="O6" s="30" t="n">
        <x:f>IF($Y6="No public API price","",$M6/'Pricing'!$M$2*$N6)</x:f>
        <x:v>0</x:v>
      </x:c>
      <x:c r="P6" s="28" t="n">
        <x:v>0</x:v>
      </x:c>
      <x:c r="Q6" s="29" t="n">
        <x:f>'Pricing'!$G$4</x:f>
        <x:v>0</x:v>
      </x:c>
      <x:c r="R6" s="30" t="n">
        <x:f>IF($Y6="No public API price","",$P6/'Pricing'!$M$2*$Q6)</x:f>
        <x:v>0</x:v>
      </x:c>
      <x:c r="S6" s="28" t="n">
        <x:v>633757</x:v>
      </x:c>
      <x:c r="T6" s="29" t="n">
        <x:f>'Pricing'!$H$4</x:f>
        <x:v>14</x:v>
      </x:c>
      <x:c r="U6" s="30" t="n">
        <x:f>IF($Y6="No public API price","",$S6/'Pricing'!$M$2*$T6)</x:f>
        <x:v>8.872598</x:v>
      </x:c>
      <x:c r="V6" s="28" t="n">
        <x:v>525074</x:v>
      </x:c>
      <x:c r="W6" s="28" t="n">
        <x:v>54817264</x:v>
      </x:c>
      <x:c r="X6" s="30" t="n">
        <x:f>IF($Y6="No public API price","",SUM($I6,$L6,$O6,$R6,$U6))</x:f>
        <x:v>22.93781525</x:v>
      </x:c>
      <x:c r="Y6" s="26" t="str">
        <x:f>'Pricing'!$C$4</x:f>
        <x:v>Published</x:v>
      </x:c>
    </x:row>
    <x:row r="7" ht="20" customHeight="1">
      <x:c r="A7" s="25" t="str">
        <x:v>2026-02-08</x:v>
      </x:c>
      <x:c r="B7" s="26" t="str">
        <x:v>February</x:v>
      </x:c>
      <x:c r="C7" s="27" t="n">
        <x:v>2026</x:v>
      </x:c>
      <x:c r="D7" s="26" t="str">
        <x:v>OpenAI</x:v>
      </x:c>
      <x:c r="E7" s="26" t="str">
        <x:v>gpt-5.3-codex</x:v>
      </x:c>
      <x:c r="F7" s="28" t="n">
        <x:v>318113352</x:v>
      </x:c>
      <x:c r="G7" s="28" t="n">
        <x:v>5385160</x:v>
      </x:c>
      <x:c r="H7" s="29" t="n">
        <x:f>'Pricing'!$D$4</x:f>
        <x:v>1.75</x:v>
      </x:c>
      <x:c r="I7" s="30" t="n">
        <x:f>IF($Y7="No public API price","",$G7/'Pricing'!$M$2*$H7)</x:f>
        <x:v>9.42403</x:v>
      </x:c>
      <x:c r="J7" s="28" t="n">
        <x:v>312728192</x:v>
      </x:c>
      <x:c r="K7" s="29" t="n">
        <x:f>'Pricing'!$E$4</x:f>
        <x:v>0.175</x:v>
      </x:c>
      <x:c r="L7" s="30" t="n">
        <x:f>IF($Y7="No public API price","",$J7/'Pricing'!$M$2*$K7)</x:f>
        <x:v>54.72743359999999</x:v>
      </x:c>
      <x:c r="M7" s="28" t="n">
        <x:v>0</x:v>
      </x:c>
      <x:c r="N7" s="29" t="n">
        <x:f>'Pricing'!$F$4</x:f>
        <x:v>0</x:v>
      </x:c>
      <x:c r="O7" s="30" t="n">
        <x:f>IF($Y7="No public API price","",$M7/'Pricing'!$M$2*$N7)</x:f>
        <x:v>0</x:v>
      </x:c>
      <x:c r="P7" s="28" t="n">
        <x:v>0</x:v>
      </x:c>
      <x:c r="Q7" s="29" t="n">
        <x:f>'Pricing'!$G$4</x:f>
        <x:v>0</x:v>
      </x:c>
      <x:c r="R7" s="30" t="n">
        <x:f>IF($Y7="No public API price","",$P7/'Pricing'!$M$2*$Q7)</x:f>
        <x:v>0</x:v>
      </x:c>
      <x:c r="S7" s="28" t="n">
        <x:v>1329313</x:v>
      </x:c>
      <x:c r="T7" s="29" t="n">
        <x:f>'Pricing'!$H$4</x:f>
        <x:v>14</x:v>
      </x:c>
      <x:c r="U7" s="30" t="n">
        <x:f>IF($Y7="No public API price","",$S7/'Pricing'!$M$2*$T7)</x:f>
        <x:v>18.610382</x:v>
      </x:c>
      <x:c r="V7" s="28" t="n">
        <x:v>973131</x:v>
      </x:c>
      <x:c r="W7" s="28" t="n">
        <x:v>319442665</x:v>
      </x:c>
      <x:c r="X7" s="30" t="n">
        <x:f>IF($Y7="No public API price","",SUM($I7,$L7,$O7,$R7,$U7))</x:f>
        <x:v>82.76184559999999</x:v>
      </x:c>
      <x:c r="Y7" s="26" t="str">
        <x:f>'Pricing'!$C$4</x:f>
        <x:v>Published</x:v>
      </x:c>
    </x:row>
    <x:row r="8" ht="20" customHeight="1">
      <x:c r="A8" s="25" t="str">
        <x:v>2026-02-12</x:v>
      </x:c>
      <x:c r="B8" s="26" t="str">
        <x:v>February</x:v>
      </x:c>
      <x:c r="C8" s="27" t="n">
        <x:v>2026</x:v>
      </x:c>
      <x:c r="D8" s="26" t="str">
        <x:v>OpenAI</x:v>
      </x:c>
      <x:c r="E8" s="26" t="str">
        <x:v>gpt-5.3-codex</x:v>
      </x:c>
      <x:c r="F8" s="28" t="n">
        <x:v>38281502</x:v>
      </x:c>
      <x:c r="G8" s="28" t="n">
        <x:v>3489182</x:v>
      </x:c>
      <x:c r="H8" s="29" t="n">
        <x:f>'Pricing'!$D$4</x:f>
        <x:v>1.75</x:v>
      </x:c>
      <x:c r="I8" s="30" t="n">
        <x:f>IF($Y8="No public API price","",$G8/'Pricing'!$M$2*$H8)</x:f>
        <x:v>6.1060685</x:v>
      </x:c>
      <x:c r="J8" s="28" t="n">
        <x:v>34792320</x:v>
      </x:c>
      <x:c r="K8" s="29" t="n">
        <x:f>'Pricing'!$E$4</x:f>
        <x:v>0.175</x:v>
      </x:c>
      <x:c r="L8" s="30" t="n">
        <x:f>IF($Y8="No public API price","",$J8/'Pricing'!$M$2*$K8)</x:f>
        <x:v>6.088655999999999</x:v>
      </x:c>
      <x:c r="M8" s="28" t="n">
        <x:v>0</x:v>
      </x:c>
      <x:c r="N8" s="29" t="n">
        <x:f>'Pricing'!$F$4</x:f>
        <x:v>0</x:v>
      </x:c>
      <x:c r="O8" s="30" t="n">
        <x:f>IF($Y8="No public API price","",$M8/'Pricing'!$M$2*$N8)</x:f>
        <x:v>0</x:v>
      </x:c>
      <x:c r="P8" s="28" t="n">
        <x:v>0</x:v>
      </x:c>
      <x:c r="Q8" s="29" t="n">
        <x:f>'Pricing'!$G$4</x:f>
        <x:v>0</x:v>
      </x:c>
      <x:c r="R8" s="30" t="n">
        <x:f>IF($Y8="No public API price","",$P8/'Pricing'!$M$2*$Q8)</x:f>
        <x:v>0</x:v>
      </x:c>
      <x:c r="S8" s="28" t="n">
        <x:v>249149</x:v>
      </x:c>
      <x:c r="T8" s="29" t="n">
        <x:f>'Pricing'!$H$4</x:f>
        <x:v>14</x:v>
      </x:c>
      <x:c r="U8" s="30" t="n">
        <x:f>IF($Y8="No public API price","",$S8/'Pricing'!$M$2*$T8)</x:f>
        <x:v>3.488086</x:v>
      </x:c>
      <x:c r="V8" s="28" t="n">
        <x:v>149034</x:v>
      </x:c>
      <x:c r="W8" s="28" t="n">
        <x:v>38530651</x:v>
      </x:c>
      <x:c r="X8" s="30" t="n">
        <x:f>IF($Y8="No public API price","",SUM($I8,$L8,$O8,$R8,$U8))</x:f>
        <x:v>15.682810499999999</x:v>
      </x:c>
      <x:c r="Y8" s="26" t="str">
        <x:f>'Pricing'!$C$4</x:f>
        <x:v>Published</x:v>
      </x:c>
    </x:row>
    <x:row r="9" ht="20" customHeight="1">
      <x:c r="A9" s="25" t="str">
        <x:v>2026-02-12</x:v>
      </x:c>
      <x:c r="B9" s="26" t="str">
        <x:v>February</x:v>
      </x:c>
      <x:c r="C9" s="27" t="n">
        <x:v>2026</x:v>
      </x:c>
      <x:c r="D9" s="26" t="str">
        <x:v>OpenAI</x:v>
      </x:c>
      <x:c r="E9" s="26" t="str">
        <x:v>gpt-5.3-codex-spark</x:v>
      </x:c>
      <x:c r="F9" s="28" t="n">
        <x:v>5700035</x:v>
      </x:c>
      <x:c r="G9" s="28" t="n">
        <x:v>211651</x:v>
      </x:c>
      <x:c r="H9" s="29" t="n">
        <x:f>'Pricing'!$D$5</x:f>
        <x:v>1.75</x:v>
      </x:c>
      <x:c r="I9" s="30" t="n">
        <x:f>IF($Y9="No public API price","",$G9/'Pricing'!$M$2*$H9)</x:f>
        <x:v>0.37038925</x:v>
      </x:c>
      <x:c r="J9" s="28" t="n">
        <x:v>5488384</x:v>
      </x:c>
      <x:c r="K9" s="29" t="n">
        <x:f>'Pricing'!$E$5</x:f>
        <x:v>0.175</x:v>
      </x:c>
      <x:c r="L9" s="30" t="n">
        <x:f>IF($Y9="No public API price","",$J9/'Pricing'!$M$2*$K9)</x:f>
        <x:v>0.9604672</x:v>
      </x:c>
      <x:c r="M9" s="28" t="n">
        <x:v>0</x:v>
      </x:c>
      <x:c r="N9" s="29" t="n">
        <x:f>'Pricing'!$F$5</x:f>
        <x:v>0</x:v>
      </x:c>
      <x:c r="O9" s="30" t="n">
        <x:f>IF($Y9="No public API price","",$M9/'Pricing'!$M$2*$N9)</x:f>
        <x:v>0</x:v>
      </x:c>
      <x:c r="P9" s="28" t="n">
        <x:v>0</x:v>
      </x:c>
      <x:c r="Q9" s="29" t="n">
        <x:f>'Pricing'!$G$5</x:f>
        <x:v>0</x:v>
      </x:c>
      <x:c r="R9" s="30" t="n">
        <x:f>IF($Y9="No public API price","",$P9/'Pricing'!$M$2*$Q9)</x:f>
        <x:v>0</x:v>
      </x:c>
      <x:c r="S9" s="28" t="n">
        <x:v>72169</x:v>
      </x:c>
      <x:c r="T9" s="29" t="n">
        <x:f>'Pricing'!$H$5</x:f>
        <x:v>14</x:v>
      </x:c>
      <x:c r="U9" s="30" t="n">
        <x:f>IF($Y9="No public API price","",$S9/'Pricing'!$M$2*$T9)</x:f>
        <x:v>1.0103659999999999</x:v>
      </x:c>
      <x:c r="V9" s="28" t="n">
        <x:v>19415</x:v>
      </x:c>
      <x:c r="W9" s="28" t="n">
        <x:v>5772204</x:v>
      </x:c>
      <x:c r="X9" s="30" t="n">
        <x:f>IF($Y9="No public API price","",SUM($I9,$L9,$O9,$R9,$U9))</x:f>
        <x:v>2.34122245</x:v>
      </x:c>
      <x:c r="Y9" s="26" t="str">
        <x:f>'Pricing'!$C$5</x:f>
        <x:v>User-selected proxy</x:v>
      </x:c>
    </x:row>
    <x:row r="10" ht="20" customHeight="1">
      <x:c r="A10" s="25" t="str">
        <x:v>2026-02-13</x:v>
      </x:c>
      <x:c r="B10" s="26" t="str">
        <x:v>February</x:v>
      </x:c>
      <x:c r="C10" s="27" t="n">
        <x:v>2026</x:v>
      </x:c>
      <x:c r="D10" s="26" t="str">
        <x:v>OpenAI</x:v>
      </x:c>
      <x:c r="E10" s="26" t="str">
        <x:v>gpt-5.3-codex</x:v>
      </x:c>
      <x:c r="F10" s="28" t="n">
        <x:v>423672857</x:v>
      </x:c>
      <x:c r="G10" s="28" t="n">
        <x:v>26145049</x:v>
      </x:c>
      <x:c r="H10" s="29" t="n">
        <x:f>'Pricing'!$D$4</x:f>
        <x:v>1.75</x:v>
      </x:c>
      <x:c r="I10" s="30" t="n">
        <x:f>IF($Y10="No public API price","",$G10/'Pricing'!$M$2*$H10)</x:f>
        <x:v>45.75383575</x:v>
      </x:c>
      <x:c r="J10" s="28" t="n">
        <x:v>397527808</x:v>
      </x:c>
      <x:c r="K10" s="29" t="n">
        <x:f>'Pricing'!$E$4</x:f>
        <x:v>0.175</x:v>
      </x:c>
      <x:c r="L10" s="30" t="n">
        <x:f>IF($Y10="No public API price","",$J10/'Pricing'!$M$2*$K10)</x:f>
        <x:v>69.5673664</x:v>
      </x:c>
      <x:c r="M10" s="28" t="n">
        <x:v>0</x:v>
      </x:c>
      <x:c r="N10" s="29" t="n">
        <x:f>'Pricing'!$F$4</x:f>
        <x:v>0</x:v>
      </x:c>
      <x:c r="O10" s="30" t="n">
        <x:f>IF($Y10="No public API price","",$M10/'Pricing'!$M$2*$N10)</x:f>
        <x:v>0</x:v>
      </x:c>
      <x:c r="P10" s="28" t="n">
        <x:v>0</x:v>
      </x:c>
      <x:c r="Q10" s="29" t="n">
        <x:f>'Pricing'!$G$4</x:f>
        <x:v>0</x:v>
      </x:c>
      <x:c r="R10" s="30" t="n">
        <x:f>IF($Y10="No public API price","",$P10/'Pricing'!$M$2*$Q10)</x:f>
        <x:v>0</x:v>
      </x:c>
      <x:c r="S10" s="28" t="n">
        <x:v>1576577</x:v>
      </x:c>
      <x:c r="T10" s="29" t="n">
        <x:f>'Pricing'!$H$4</x:f>
        <x:v>14</x:v>
      </x:c>
      <x:c r="U10" s="30" t="n">
        <x:f>IF($Y10="No public API price","",$S10/'Pricing'!$M$2*$T10)</x:f>
        <x:v>22.072077999999998</x:v>
      </x:c>
      <x:c r="V10" s="28" t="n">
        <x:v>789623</x:v>
      </x:c>
      <x:c r="W10" s="28" t="n">
        <x:v>425249434</x:v>
      </x:c>
      <x:c r="X10" s="30" t="n">
        <x:f>IF($Y10="No public API price","",SUM($I10,$L10,$O10,$R10,$U10))</x:f>
        <x:v>137.39328015</x:v>
      </x:c>
      <x:c r="Y10" s="26" t="str">
        <x:f>'Pricing'!$C$4</x:f>
        <x:v>Published</x:v>
      </x:c>
    </x:row>
    <x:row r="11" ht="20" customHeight="1">
      <x:c r="A11" s="25" t="str">
        <x:v>2026-02-14</x:v>
      </x:c>
      <x:c r="B11" s="26" t="str">
        <x:v>February</x:v>
      </x:c>
      <x:c r="C11" s="27" t="n">
        <x:v>2026</x:v>
      </x:c>
      <x:c r="D11" s="26" t="str">
        <x:v>OpenAI</x:v>
      </x:c>
      <x:c r="E11" s="26" t="str">
        <x:v>gpt-5.3-codex</x:v>
      </x:c>
      <x:c r="F11" s="28" t="n">
        <x:v>1308308561</x:v>
      </x:c>
      <x:c r="G11" s="28" t="n">
        <x:v>65602001</x:v>
      </x:c>
      <x:c r="H11" s="29" t="n">
        <x:f>'Pricing'!$D$4</x:f>
        <x:v>1.75</x:v>
      </x:c>
      <x:c r="I11" s="30" t="n">
        <x:f>IF($Y11="No public API price","",$G11/'Pricing'!$M$2*$H11)</x:f>
        <x:v>114.80350175000001</x:v>
      </x:c>
      <x:c r="J11" s="28" t="n">
        <x:v>1242706560</x:v>
      </x:c>
      <x:c r="K11" s="29" t="n">
        <x:f>'Pricing'!$E$4</x:f>
        <x:v>0.175</x:v>
      </x:c>
      <x:c r="L11" s="30" t="n">
        <x:f>IF($Y11="No public API price","",$J11/'Pricing'!$M$2*$K11)</x:f>
        <x:v>217.473648</x:v>
      </x:c>
      <x:c r="M11" s="28" t="n">
        <x:v>0</x:v>
      </x:c>
      <x:c r="N11" s="29" t="n">
        <x:f>'Pricing'!$F$4</x:f>
        <x:v>0</x:v>
      </x:c>
      <x:c r="O11" s="30" t="n">
        <x:f>IF($Y11="No public API price","",$M11/'Pricing'!$M$2*$N11)</x:f>
        <x:v>0</x:v>
      </x:c>
      <x:c r="P11" s="28" t="n">
        <x:v>0</x:v>
      </x:c>
      <x:c r="Q11" s="29" t="n">
        <x:f>'Pricing'!$G$4</x:f>
        <x:v>0</x:v>
      </x:c>
      <x:c r="R11" s="30" t="n">
        <x:f>IF($Y11="No public API price","",$P11/'Pricing'!$M$2*$Q11)</x:f>
        <x:v>0</x:v>
      </x:c>
      <x:c r="S11" s="28" t="n">
        <x:v>3069675</x:v>
      </x:c>
      <x:c r="T11" s="29" t="n">
        <x:f>'Pricing'!$H$4</x:f>
        <x:v>14</x:v>
      </x:c>
      <x:c r="U11" s="30" t="n">
        <x:f>IF($Y11="No public API price","",$S11/'Pricing'!$M$2*$T11)</x:f>
        <x:v>42.97545</x:v>
      </x:c>
      <x:c r="V11" s="28" t="n">
        <x:v>1270178</x:v>
      </x:c>
      <x:c r="W11" s="28" t="n">
        <x:v>1311378236</x:v>
      </x:c>
      <x:c r="X11" s="30" t="n">
        <x:f>IF($Y11="No public API price","",SUM($I11,$L11,$O11,$R11,$U11))</x:f>
        <x:v>375.25259975000006</x:v>
      </x:c>
      <x:c r="Y11" s="26" t="str">
        <x:f>'Pricing'!$C$4</x:f>
        <x:v>Published</x:v>
      </x:c>
    </x:row>
    <x:row r="12" ht="20" customHeight="1">
      <x:c r="A12" s="25" t="str">
        <x:v>2026-02-15</x:v>
      </x:c>
      <x:c r="B12" s="26" t="str">
        <x:v>February</x:v>
      </x:c>
      <x:c r="C12" s="27" t="n">
        <x:v>2026</x:v>
      </x:c>
      <x:c r="D12" s="26" t="str">
        <x:v>OpenAI</x:v>
      </x:c>
      <x:c r="E12" s="26" t="str">
        <x:v>gpt-5.3-codex</x:v>
      </x:c>
      <x:c r="F12" s="28" t="n">
        <x:v>1165264822</x:v>
      </x:c>
      <x:c r="G12" s="28" t="n">
        <x:v>96202550</x:v>
      </x:c>
      <x:c r="H12" s="29" t="n">
        <x:f>'Pricing'!$D$4</x:f>
        <x:v>1.75</x:v>
      </x:c>
      <x:c r="I12" s="30" t="n">
        <x:f>IF($Y12="No public API price","",$G12/'Pricing'!$M$2*$H12)</x:f>
        <x:v>168.3544625</x:v>
      </x:c>
      <x:c r="J12" s="28" t="n">
        <x:v>1069062272</x:v>
      </x:c>
      <x:c r="K12" s="29" t="n">
        <x:f>'Pricing'!$E$4</x:f>
        <x:v>0.175</x:v>
      </x:c>
      <x:c r="L12" s="30" t="n">
        <x:f>IF($Y12="No public API price","",$J12/'Pricing'!$M$2*$K12)</x:f>
        <x:v>187.08589759999998</x:v>
      </x:c>
      <x:c r="M12" s="28" t="n">
        <x:v>0</x:v>
      </x:c>
      <x:c r="N12" s="29" t="n">
        <x:f>'Pricing'!$F$4</x:f>
        <x:v>0</x:v>
      </x:c>
      <x:c r="O12" s="30" t="n">
        <x:f>IF($Y12="No public API price","",$M12/'Pricing'!$M$2*$N12)</x:f>
        <x:v>0</x:v>
      </x:c>
      <x:c r="P12" s="28" t="n">
        <x:v>0</x:v>
      </x:c>
      <x:c r="Q12" s="29" t="n">
        <x:f>'Pricing'!$G$4</x:f>
        <x:v>0</x:v>
      </x:c>
      <x:c r="R12" s="30" t="n">
        <x:f>IF($Y12="No public API price","",$P12/'Pricing'!$M$2*$Q12)</x:f>
        <x:v>0</x:v>
      </x:c>
      <x:c r="S12" s="28" t="n">
        <x:v>2141581</x:v>
      </x:c>
      <x:c r="T12" s="29" t="n">
        <x:f>'Pricing'!$H$4</x:f>
        <x:v>14</x:v>
      </x:c>
      <x:c r="U12" s="30" t="n">
        <x:f>IF($Y12="No public API price","",$S12/'Pricing'!$M$2*$T12)</x:f>
        <x:v>29.982134</x:v>
      </x:c>
      <x:c r="V12" s="28" t="n">
        <x:v>1027074</x:v>
      </x:c>
      <x:c r="W12" s="28" t="n">
        <x:v>1167406403</x:v>
      </x:c>
      <x:c r="X12" s="30" t="n">
        <x:f>IF($Y12="No public API price","",SUM($I12,$L12,$O12,$R12,$U12))</x:f>
        <x:v>385.4224941</x:v>
      </x:c>
      <x:c r="Y12" s="26" t="str">
        <x:f>'Pricing'!$C$4</x:f>
        <x:v>Published</x:v>
      </x:c>
    </x:row>
    <x:row r="13" ht="20" customHeight="1">
      <x:c r="A13" s="25" t="str">
        <x:v>2026-02-16</x:v>
      </x:c>
      <x:c r="B13" s="26" t="str">
        <x:v>February</x:v>
      </x:c>
      <x:c r="C13" s="27" t="n">
        <x:v>2026</x:v>
      </x:c>
      <x:c r="D13" s="26" t="str">
        <x:v>OpenAI</x:v>
      </x:c>
      <x:c r="E13" s="26" t="str">
        <x:v>gpt-5.3-codex</x:v>
      </x:c>
      <x:c r="F13" s="28" t="n">
        <x:v>352504065</x:v>
      </x:c>
      <x:c r="G13" s="28" t="n">
        <x:v>16196609</x:v>
      </x:c>
      <x:c r="H13" s="29" t="n">
        <x:f>'Pricing'!$D$4</x:f>
        <x:v>1.75</x:v>
      </x:c>
      <x:c r="I13" s="30" t="n">
        <x:f>IF($Y13="No public API price","",$G13/'Pricing'!$M$2*$H13)</x:f>
        <x:v>28.34406575</x:v>
      </x:c>
      <x:c r="J13" s="28" t="n">
        <x:v>336307456</x:v>
      </x:c>
      <x:c r="K13" s="29" t="n">
        <x:f>'Pricing'!$E$4</x:f>
        <x:v>0.175</x:v>
      </x:c>
      <x:c r="L13" s="30" t="n">
        <x:f>IF($Y13="No public API price","",$J13/'Pricing'!$M$2*$K13)</x:f>
        <x:v>58.8538048</x:v>
      </x:c>
      <x:c r="M13" s="28" t="n">
        <x:v>0</x:v>
      </x:c>
      <x:c r="N13" s="29" t="n">
        <x:f>'Pricing'!$F$4</x:f>
        <x:v>0</x:v>
      </x:c>
      <x:c r="O13" s="30" t="n">
        <x:f>IF($Y13="No public API price","",$M13/'Pricing'!$M$2*$N13)</x:f>
        <x:v>0</x:v>
      </x:c>
      <x:c r="P13" s="28" t="n">
        <x:v>0</x:v>
      </x:c>
      <x:c r="Q13" s="29" t="n">
        <x:f>'Pricing'!$G$4</x:f>
        <x:v>0</x:v>
      </x:c>
      <x:c r="R13" s="30" t="n">
        <x:f>IF($Y13="No public API price","",$P13/'Pricing'!$M$2*$Q13)</x:f>
        <x:v>0</x:v>
      </x:c>
      <x:c r="S13" s="28" t="n">
        <x:v>732712</x:v>
      </x:c>
      <x:c r="T13" s="29" t="n">
        <x:f>'Pricing'!$H$4</x:f>
        <x:v>14</x:v>
      </x:c>
      <x:c r="U13" s="30" t="n">
        <x:f>IF($Y13="No public API price","",$S13/'Pricing'!$M$2*$T13)</x:f>
        <x:v>10.257968</x:v>
      </x:c>
      <x:c r="V13" s="28" t="n">
        <x:v>387935</x:v>
      </x:c>
      <x:c r="W13" s="28" t="n">
        <x:v>353236777</x:v>
      </x:c>
      <x:c r="X13" s="30" t="n">
        <x:f>IF($Y13="No public API price","",SUM($I13,$L13,$O13,$R13,$U13))</x:f>
        <x:v>97.45583855000001</x:v>
      </x:c>
      <x:c r="Y13" s="26" t="str">
        <x:f>'Pricing'!$C$4</x:f>
        <x:v>Published</x:v>
      </x:c>
    </x:row>
    <x:row r="14" ht="20" customHeight="1">
      <x:c r="A14" s="25" t="str">
        <x:v>2026-02-17</x:v>
      </x:c>
      <x:c r="B14" s="26" t="str">
        <x:v>February</x:v>
      </x:c>
      <x:c r="C14" s="27" t="n">
        <x:v>2026</x:v>
      </x:c>
      <x:c r="D14" s="26" t="str">
        <x:v>OpenAI</x:v>
      </x:c>
      <x:c r="E14" s="26" t="str">
        <x:v>gpt-5.3-codex</x:v>
      </x:c>
      <x:c r="F14" s="28" t="n">
        <x:v>358626856</x:v>
      </x:c>
      <x:c r="G14" s="28" t="n">
        <x:v>20135336</x:v>
      </x:c>
      <x:c r="H14" s="29" t="n">
        <x:f>'Pricing'!$D$4</x:f>
        <x:v>1.75</x:v>
      </x:c>
      <x:c r="I14" s="30" t="n">
        <x:f>IF($Y14="No public API price","",$G14/'Pricing'!$M$2*$H14)</x:f>
        <x:v>35.236838</x:v>
      </x:c>
      <x:c r="J14" s="28" t="n">
        <x:v>338491520</x:v>
      </x:c>
      <x:c r="K14" s="29" t="n">
        <x:f>'Pricing'!$E$4</x:f>
        <x:v>0.175</x:v>
      </x:c>
      <x:c r="L14" s="30" t="n">
        <x:f>IF($Y14="No public API price","",$J14/'Pricing'!$M$2*$K14)</x:f>
        <x:v>59.23601599999999</x:v>
      </x:c>
      <x:c r="M14" s="28" t="n">
        <x:v>0</x:v>
      </x:c>
      <x:c r="N14" s="29" t="n">
        <x:f>'Pricing'!$F$4</x:f>
        <x:v>0</x:v>
      </x:c>
      <x:c r="O14" s="30" t="n">
        <x:f>IF($Y14="No public API price","",$M14/'Pricing'!$M$2*$N14)</x:f>
        <x:v>0</x:v>
      </x:c>
      <x:c r="P14" s="28" t="n">
        <x:v>0</x:v>
      </x:c>
      <x:c r="Q14" s="29" t="n">
        <x:f>'Pricing'!$G$4</x:f>
        <x:v>0</x:v>
      </x:c>
      <x:c r="R14" s="30" t="n">
        <x:f>IF($Y14="No public API price","",$P14/'Pricing'!$M$2*$Q14)</x:f>
        <x:v>0</x:v>
      </x:c>
      <x:c r="S14" s="28" t="n">
        <x:v>1025563</x:v>
      </x:c>
      <x:c r="T14" s="29" t="n">
        <x:f>'Pricing'!$H$4</x:f>
        <x:v>14</x:v>
      </x:c>
      <x:c r="U14" s="30" t="n">
        <x:f>IF($Y14="No public API price","",$S14/'Pricing'!$M$2*$T14)</x:f>
        <x:v>14.357882</x:v>
      </x:c>
      <x:c r="V14" s="28" t="n">
        <x:v>542141</x:v>
      </x:c>
      <x:c r="W14" s="28" t="n">
        <x:v>359652419</x:v>
      </x:c>
      <x:c r="X14" s="30" t="n">
        <x:f>IF($Y14="No public API price","",SUM($I14,$L14,$O14,$R14,$U14))</x:f>
        <x:v>108.83073599999999</x:v>
      </x:c>
      <x:c r="Y14" s="26" t="str">
        <x:f>'Pricing'!$C$4</x:f>
        <x:v>Published</x:v>
      </x:c>
    </x:row>
    <x:row r="15" ht="20" customHeight="1">
      <x:c r="A15" s="25" t="str">
        <x:v>2026-02-18</x:v>
      </x:c>
      <x:c r="B15" s="26" t="str">
        <x:v>February</x:v>
      </x:c>
      <x:c r="C15" s="27" t="n">
        <x:v>2026</x:v>
      </x:c>
      <x:c r="D15" s="26" t="str">
        <x:v>OpenAI</x:v>
      </x:c>
      <x:c r="E15" s="26" t="str">
        <x:v>gpt-5.3-codex</x:v>
      </x:c>
      <x:c r="F15" s="28" t="n">
        <x:v>4554198</x:v>
      </x:c>
      <x:c r="G15" s="28" t="n">
        <x:v>1094998</x:v>
      </x:c>
      <x:c r="H15" s="29" t="n">
        <x:f>'Pricing'!$D$4</x:f>
        <x:v>1.75</x:v>
      </x:c>
      <x:c r="I15" s="30" t="n">
        <x:f>IF($Y15="No public API price","",$G15/'Pricing'!$M$2*$H15)</x:f>
        <x:v>1.9162464999999997</x:v>
      </x:c>
      <x:c r="J15" s="28" t="n">
        <x:v>3459200</x:v>
      </x:c>
      <x:c r="K15" s="29" t="n">
        <x:f>'Pricing'!$E$4</x:f>
        <x:v>0.175</x:v>
      </x:c>
      <x:c r="L15" s="30" t="n">
        <x:f>IF($Y15="No public API price","",$J15/'Pricing'!$M$2*$K15)</x:f>
        <x:v>0.60536</x:v>
      </x:c>
      <x:c r="M15" s="28" t="n">
        <x:v>0</x:v>
      </x:c>
      <x:c r="N15" s="29" t="n">
        <x:f>'Pricing'!$F$4</x:f>
        <x:v>0</x:v>
      </x:c>
      <x:c r="O15" s="30" t="n">
        <x:f>IF($Y15="No public API price","",$M15/'Pricing'!$M$2*$N15)</x:f>
        <x:v>0</x:v>
      </x:c>
      <x:c r="P15" s="28" t="n">
        <x:v>0</x:v>
      </x:c>
      <x:c r="Q15" s="29" t="n">
        <x:f>'Pricing'!$G$4</x:f>
        <x:v>0</x:v>
      </x:c>
      <x:c r="R15" s="30" t="n">
        <x:f>IF($Y15="No public API price","",$P15/'Pricing'!$M$2*$Q15)</x:f>
        <x:v>0</x:v>
      </x:c>
      <x:c r="S15" s="28" t="n">
        <x:v>47646</x:v>
      </x:c>
      <x:c r="T15" s="29" t="n">
        <x:f>'Pricing'!$H$4</x:f>
        <x:v>14</x:v>
      </x:c>
      <x:c r="U15" s="30" t="n">
        <x:f>IF($Y15="No public API price","",$S15/'Pricing'!$M$2*$T15)</x:f>
        <x:v>0.667044</x:v>
      </x:c>
      <x:c r="V15" s="28" t="n">
        <x:v>21448</x:v>
      </x:c>
      <x:c r="W15" s="28" t="n">
        <x:v>4601844</x:v>
      </x:c>
      <x:c r="X15" s="30" t="n">
        <x:f>IF($Y15="No public API price","",SUM($I15,$L15,$O15,$R15,$U15))</x:f>
        <x:v>3.1886504999999996</x:v>
      </x:c>
      <x:c r="Y15" s="26" t="str">
        <x:f>'Pricing'!$C$4</x:f>
        <x:v>Published</x:v>
      </x:c>
    </x:row>
    <x:row r="16" ht="20" customHeight="1">
      <x:c r="A16" s="25" t="str">
        <x:v>2026-02-19</x:v>
      </x:c>
      <x:c r="B16" s="26" t="str">
        <x:v>February</x:v>
      </x:c>
      <x:c r="C16" s="27" t="n">
        <x:v>2026</x:v>
      </x:c>
      <x:c r="D16" s="26" t="str">
        <x:v>OpenAI</x:v>
      </x:c>
      <x:c r="E16" s="26" t="str">
        <x:v>gpt-5.3-codex</x:v>
      </x:c>
      <x:c r="F16" s="28" t="n">
        <x:v>767537137</x:v>
      </x:c>
      <x:c r="G16" s="28" t="n">
        <x:v>37445105</x:v>
      </x:c>
      <x:c r="H16" s="29" t="n">
        <x:f>'Pricing'!$D$4</x:f>
        <x:v>1.75</x:v>
      </x:c>
      <x:c r="I16" s="30" t="n">
        <x:f>IF($Y16="No public API price","",$G16/'Pricing'!$M$2*$H16)</x:f>
        <x:v>65.52893375</x:v>
      </x:c>
      <x:c r="J16" s="28" t="n">
        <x:v>730092032</x:v>
      </x:c>
      <x:c r="K16" s="29" t="n">
        <x:f>'Pricing'!$E$4</x:f>
        <x:v>0.175</x:v>
      </x:c>
      <x:c r="L16" s="30" t="n">
        <x:f>IF($Y16="No public API price","",$J16/'Pricing'!$M$2*$K16)</x:f>
        <x:v>127.76610559999999</x:v>
      </x:c>
      <x:c r="M16" s="28" t="n">
        <x:v>0</x:v>
      </x:c>
      <x:c r="N16" s="29" t="n">
        <x:f>'Pricing'!$F$4</x:f>
        <x:v>0</x:v>
      </x:c>
      <x:c r="O16" s="30" t="n">
        <x:f>IF($Y16="No public API price","",$M16/'Pricing'!$M$2*$N16)</x:f>
        <x:v>0</x:v>
      </x:c>
      <x:c r="P16" s="28" t="n">
        <x:v>0</x:v>
      </x:c>
      <x:c r="Q16" s="29" t="n">
        <x:f>'Pricing'!$G$4</x:f>
        <x:v>0</x:v>
      </x:c>
      <x:c r="R16" s="30" t="n">
        <x:f>IF($Y16="No public API price","",$P16/'Pricing'!$M$2*$Q16)</x:f>
        <x:v>0</x:v>
      </x:c>
      <x:c r="S16" s="28" t="n">
        <x:v>4888179</x:v>
      </x:c>
      <x:c r="T16" s="29" t="n">
        <x:f>'Pricing'!$H$4</x:f>
        <x:v>14</x:v>
      </x:c>
      <x:c r="U16" s="30" t="n">
        <x:f>IF($Y16="No public API price","",$S16/'Pricing'!$M$2*$T16)</x:f>
        <x:v>68.434506</x:v>
      </x:c>
      <x:c r="V16" s="28" t="n">
        <x:v>2442079</x:v>
      </x:c>
      <x:c r="W16" s="28" t="n">
        <x:v>772425316</x:v>
      </x:c>
      <x:c r="X16" s="30" t="n">
        <x:f>IF($Y16="No public API price","",SUM($I16,$L16,$O16,$R16,$U16))</x:f>
        <x:v>261.72954534999997</x:v>
      </x:c>
      <x:c r="Y16" s="26" t="str">
        <x:f>'Pricing'!$C$4</x:f>
        <x:v>Published</x:v>
      </x:c>
    </x:row>
    <x:row r="17" ht="20" customHeight="1">
      <x:c r="A17" s="25" t="str">
        <x:v>2026-02-20</x:v>
      </x:c>
      <x:c r="B17" s="26" t="str">
        <x:v>February</x:v>
      </x:c>
      <x:c r="C17" s="27" t="n">
        <x:v>2026</x:v>
      </x:c>
      <x:c r="D17" s="26" t="str">
        <x:v>OpenAI</x:v>
      </x:c>
      <x:c r="E17" s="26" t="str">
        <x:v>gpt-5.3-codex</x:v>
      </x:c>
      <x:c r="F17" s="28" t="n">
        <x:v>293859019</x:v>
      </x:c>
      <x:c r="G17" s="28" t="n">
        <x:v>19177803</x:v>
      </x:c>
      <x:c r="H17" s="29" t="n">
        <x:f>'Pricing'!$D$4</x:f>
        <x:v>1.75</x:v>
      </x:c>
      <x:c r="I17" s="30" t="n">
        <x:f>IF($Y17="No public API price","",$G17/'Pricing'!$M$2*$H17)</x:f>
        <x:v>33.56115525</x:v>
      </x:c>
      <x:c r="J17" s="28" t="n">
        <x:v>274681216</x:v>
      </x:c>
      <x:c r="K17" s="29" t="n">
        <x:f>'Pricing'!$E$4</x:f>
        <x:v>0.175</x:v>
      </x:c>
      <x:c r="L17" s="30" t="n">
        <x:f>IF($Y17="No public API price","",$J17/'Pricing'!$M$2*$K17)</x:f>
        <x:v>48.069212799999995</x:v>
      </x:c>
      <x:c r="M17" s="28" t="n">
        <x:v>0</x:v>
      </x:c>
      <x:c r="N17" s="29" t="n">
        <x:f>'Pricing'!$F$4</x:f>
        <x:v>0</x:v>
      </x:c>
      <x:c r="O17" s="30" t="n">
        <x:f>IF($Y17="No public API price","",$M17/'Pricing'!$M$2*$N17)</x:f>
        <x:v>0</x:v>
      </x:c>
      <x:c r="P17" s="28" t="n">
        <x:v>0</x:v>
      </x:c>
      <x:c r="Q17" s="29" t="n">
        <x:f>'Pricing'!$G$4</x:f>
        <x:v>0</x:v>
      </x:c>
      <x:c r="R17" s="30" t="n">
        <x:f>IF($Y17="No public API price","",$P17/'Pricing'!$M$2*$Q17)</x:f>
        <x:v>0</x:v>
      </x:c>
      <x:c r="S17" s="28" t="n">
        <x:v>1272261</x:v>
      </x:c>
      <x:c r="T17" s="29" t="n">
        <x:f>'Pricing'!$H$4</x:f>
        <x:v>14</x:v>
      </x:c>
      <x:c r="U17" s="30" t="n">
        <x:f>IF($Y17="No public API price","",$S17/'Pricing'!$M$2*$T17)</x:f>
        <x:v>17.811654</x:v>
      </x:c>
      <x:c r="V17" s="28" t="n">
        <x:v>625474</x:v>
      </x:c>
      <x:c r="W17" s="28" t="n">
        <x:v>295131280</x:v>
      </x:c>
      <x:c r="X17" s="30" t="n">
        <x:f>IF($Y17="No public API price","",SUM($I17,$L17,$O17,$R17,$U17))</x:f>
        <x:v>99.44202204999999</x:v>
      </x:c>
      <x:c r="Y17" s="26" t="str">
        <x:f>'Pricing'!$C$4</x:f>
        <x:v>Published</x:v>
      </x:c>
    </x:row>
    <x:row r="18" ht="20" customHeight="1">
      <x:c r="A18" s="25" t="str">
        <x:v>2026-02-21</x:v>
      </x:c>
      <x:c r="B18" s="26" t="str">
        <x:v>February</x:v>
      </x:c>
      <x:c r="C18" s="27" t="n">
        <x:v>2026</x:v>
      </x:c>
      <x:c r="D18" s="26" t="str">
        <x:v>OpenAI</x:v>
      </x:c>
      <x:c r="E18" s="26" t="str">
        <x:v>gpt-5.3-codex</x:v>
      </x:c>
      <x:c r="F18" s="28" t="n">
        <x:v>374924743</x:v>
      </x:c>
      <x:c r="G18" s="28" t="n">
        <x:v>22292807</x:v>
      </x:c>
      <x:c r="H18" s="29" t="n">
        <x:f>'Pricing'!$D$4</x:f>
        <x:v>1.75</x:v>
      </x:c>
      <x:c r="I18" s="30" t="n">
        <x:f>IF($Y18="No public API price","",$G18/'Pricing'!$M$2*$H18)</x:f>
        <x:v>39.01241225</x:v>
      </x:c>
      <x:c r="J18" s="28" t="n">
        <x:v>352631936</x:v>
      </x:c>
      <x:c r="K18" s="29" t="n">
        <x:f>'Pricing'!$E$4</x:f>
        <x:v>0.175</x:v>
      </x:c>
      <x:c r="L18" s="30" t="n">
        <x:f>IF($Y18="No public API price","",$J18/'Pricing'!$M$2*$K18)</x:f>
        <x:v>61.7105888</x:v>
      </x:c>
      <x:c r="M18" s="28" t="n">
        <x:v>0</x:v>
      </x:c>
      <x:c r="N18" s="29" t="n">
        <x:f>'Pricing'!$F$4</x:f>
        <x:v>0</x:v>
      </x:c>
      <x:c r="O18" s="30" t="n">
        <x:f>IF($Y18="No public API price","",$M18/'Pricing'!$M$2*$N18)</x:f>
        <x:v>0</x:v>
      </x:c>
      <x:c r="P18" s="28" t="n">
        <x:v>0</x:v>
      </x:c>
      <x:c r="Q18" s="29" t="n">
        <x:f>'Pricing'!$G$4</x:f>
        <x:v>0</x:v>
      </x:c>
      <x:c r="R18" s="30" t="n">
        <x:f>IF($Y18="No public API price","",$P18/'Pricing'!$M$2*$Q18)</x:f>
        <x:v>0</x:v>
      </x:c>
      <x:c r="S18" s="28" t="n">
        <x:v>1294908</x:v>
      </x:c>
      <x:c r="T18" s="29" t="n">
        <x:f>'Pricing'!$H$4</x:f>
        <x:v>14</x:v>
      </x:c>
      <x:c r="U18" s="30" t="n">
        <x:f>IF($Y18="No public API price","",$S18/'Pricing'!$M$2*$T18)</x:f>
        <x:v>18.128712</x:v>
      </x:c>
      <x:c r="V18" s="28" t="n">
        <x:v>553906</x:v>
      </x:c>
      <x:c r="W18" s="28" t="n">
        <x:v>376219651</x:v>
      </x:c>
      <x:c r="X18" s="30" t="n">
        <x:f>IF($Y18="No public API price","",SUM($I18,$L18,$O18,$R18,$U18))</x:f>
        <x:v>118.85171305</x:v>
      </x:c>
      <x:c r="Y18" s="26" t="str">
        <x:f>'Pricing'!$C$4</x:f>
        <x:v>Published</x:v>
      </x:c>
    </x:row>
    <x:row r="19" ht="20" customHeight="1">
      <x:c r="A19" s="25" t="str">
        <x:v>2026-02-22</x:v>
      </x:c>
      <x:c r="B19" s="26" t="str">
        <x:v>February</x:v>
      </x:c>
      <x:c r="C19" s="27" t="n">
        <x:v>2026</x:v>
      </x:c>
      <x:c r="D19" s="26" t="str">
        <x:v>OpenAI</x:v>
      </x:c>
      <x:c r="E19" s="26" t="str">
        <x:v>gpt-5.3-codex</x:v>
      </x:c>
      <x:c r="F19" s="28" t="n">
        <x:v>2710710288</x:v>
      </x:c>
      <x:c r="G19" s="28" t="n">
        <x:v>100178320</x:v>
      </x:c>
      <x:c r="H19" s="29" t="n">
        <x:f>'Pricing'!$D$4</x:f>
        <x:v>1.75</x:v>
      </x:c>
      <x:c r="I19" s="30" t="n">
        <x:f>IF($Y19="No public API price","",$G19/'Pricing'!$M$2*$H19)</x:f>
        <x:v>175.31206</x:v>
      </x:c>
      <x:c r="J19" s="28" t="n">
        <x:v>2610531968</x:v>
      </x:c>
      <x:c r="K19" s="29" t="n">
        <x:f>'Pricing'!$E$4</x:f>
        <x:v>0.175</x:v>
      </x:c>
      <x:c r="L19" s="30" t="n">
        <x:f>IF($Y19="No public API price","",$J19/'Pricing'!$M$2*$K19)</x:f>
        <x:v>456.8430943999999</x:v>
      </x:c>
      <x:c r="M19" s="28" t="n">
        <x:v>0</x:v>
      </x:c>
      <x:c r="N19" s="29" t="n">
        <x:f>'Pricing'!$F$4</x:f>
        <x:v>0</x:v>
      </x:c>
      <x:c r="O19" s="30" t="n">
        <x:f>IF($Y19="No public API price","",$M19/'Pricing'!$M$2*$N19)</x:f>
        <x:v>0</x:v>
      </x:c>
      <x:c r="P19" s="28" t="n">
        <x:v>0</x:v>
      </x:c>
      <x:c r="Q19" s="29" t="n">
        <x:f>'Pricing'!$G$4</x:f>
        <x:v>0</x:v>
      </x:c>
      <x:c r="R19" s="30" t="n">
        <x:f>IF($Y19="No public API price","",$P19/'Pricing'!$M$2*$Q19)</x:f>
        <x:v>0</x:v>
      </x:c>
      <x:c r="S19" s="28" t="n">
        <x:v>6051449</x:v>
      </x:c>
      <x:c r="T19" s="29" t="n">
        <x:f>'Pricing'!$H$4</x:f>
        <x:v>14</x:v>
      </x:c>
      <x:c r="U19" s="30" t="n">
        <x:f>IF($Y19="No public API price","",$S19/'Pricing'!$M$2*$T19)</x:f>
        <x:v>84.720286</x:v>
      </x:c>
      <x:c r="V19" s="28" t="n">
        <x:v>2880604</x:v>
      </x:c>
      <x:c r="W19" s="28" t="n">
        <x:v>2716761737</x:v>
      </x:c>
      <x:c r="X19" s="30" t="n">
        <x:f>IF($Y19="No public API price","",SUM($I19,$L19,$O19,$R19,$U19))</x:f>
        <x:v>716.8754403999999</x:v>
      </x:c>
      <x:c r="Y19" s="26" t="str">
        <x:f>'Pricing'!$C$4</x:f>
        <x:v>Published</x:v>
      </x:c>
    </x:row>
    <x:row r="20" ht="20" customHeight="1">
      <x:c r="A20" s="25" t="str">
        <x:v>2026-02-23</x:v>
      </x:c>
      <x:c r="B20" s="26" t="str">
        <x:v>February</x:v>
      </x:c>
      <x:c r="C20" s="27" t="n">
        <x:v>2026</x:v>
      </x:c>
      <x:c r="D20" s="26" t="str">
        <x:v>OpenAI</x:v>
      </x:c>
      <x:c r="E20" s="26" t="str">
        <x:v>gpt-5.3-codex</x:v>
      </x:c>
      <x:c r="F20" s="28" t="n">
        <x:v>711889842</x:v>
      </x:c>
      <x:c r="G20" s="28" t="n">
        <x:v>28433202</x:v>
      </x:c>
      <x:c r="H20" s="29" t="n">
        <x:f>'Pricing'!$D$4</x:f>
        <x:v>1.75</x:v>
      </x:c>
      <x:c r="I20" s="30" t="n">
        <x:f>IF($Y20="No public API price","",$G20/'Pricing'!$M$2*$H20)</x:f>
        <x:v>49.758103500000004</x:v>
      </x:c>
      <x:c r="J20" s="28" t="n">
        <x:v>683456640</x:v>
      </x:c>
      <x:c r="K20" s="29" t="n">
        <x:f>'Pricing'!$E$4</x:f>
        <x:v>0.175</x:v>
      </x:c>
      <x:c r="L20" s="30" t="n">
        <x:f>IF($Y20="No public API price","",$J20/'Pricing'!$M$2*$K20)</x:f>
        <x:v>119.60491199999998</x:v>
      </x:c>
      <x:c r="M20" s="28" t="n">
        <x:v>0</x:v>
      </x:c>
      <x:c r="N20" s="29" t="n">
        <x:f>'Pricing'!$F$4</x:f>
        <x:v>0</x:v>
      </x:c>
      <x:c r="O20" s="30" t="n">
        <x:f>IF($Y20="No public API price","",$M20/'Pricing'!$M$2*$N20)</x:f>
        <x:v>0</x:v>
      </x:c>
      <x:c r="P20" s="28" t="n">
        <x:v>0</x:v>
      </x:c>
      <x:c r="Q20" s="29" t="n">
        <x:f>'Pricing'!$G$4</x:f>
        <x:v>0</x:v>
      </x:c>
      <x:c r="R20" s="30" t="n">
        <x:f>IF($Y20="No public API price","",$P20/'Pricing'!$M$2*$Q20)</x:f>
        <x:v>0</x:v>
      </x:c>
      <x:c r="S20" s="28" t="n">
        <x:v>1774063</x:v>
      </x:c>
      <x:c r="T20" s="29" t="n">
        <x:f>'Pricing'!$H$4</x:f>
        <x:v>14</x:v>
      </x:c>
      <x:c r="U20" s="30" t="n">
        <x:f>IF($Y20="No public API price","",$S20/'Pricing'!$M$2*$T20)</x:f>
        <x:v>24.836882</x:v>
      </x:c>
      <x:c r="V20" s="28" t="n">
        <x:v>834807</x:v>
      </x:c>
      <x:c r="W20" s="28" t="n">
        <x:v>713663905</x:v>
      </x:c>
      <x:c r="X20" s="30" t="n">
        <x:f>IF($Y20="No public API price","",SUM($I20,$L20,$O20,$R20,$U20))</x:f>
        <x:v>194.1998975</x:v>
      </x:c>
      <x:c r="Y20" s="26" t="str">
        <x:f>'Pricing'!$C$4</x:f>
        <x:v>Published</x:v>
      </x:c>
    </x:row>
    <x:row r="21" ht="20" customHeight="1">
      <x:c r="A21" s="25" t="str">
        <x:v>2026-02-24</x:v>
      </x:c>
      <x:c r="B21" s="26" t="str">
        <x:v>February</x:v>
      </x:c>
      <x:c r="C21" s="27" t="n">
        <x:v>2026</x:v>
      </x:c>
      <x:c r="D21" s="26" t="str">
        <x:v>OpenAI</x:v>
      </x:c>
      <x:c r="E21" s="26" t="str">
        <x:v>gpt-5.3-codex</x:v>
      </x:c>
      <x:c r="F21" s="28" t="n">
        <x:v>1000452279</x:v>
      </x:c>
      <x:c r="G21" s="28" t="n">
        <x:v>30500407</x:v>
      </x:c>
      <x:c r="H21" s="29" t="n">
        <x:f>'Pricing'!$D$4</x:f>
        <x:v>1.75</x:v>
      </x:c>
      <x:c r="I21" s="30" t="n">
        <x:f>IF($Y21="No public API price","",$G21/'Pricing'!$M$2*$H21)</x:f>
        <x:v>53.37571225</x:v>
      </x:c>
      <x:c r="J21" s="28" t="n">
        <x:v>969951872</x:v>
      </x:c>
      <x:c r="K21" s="29" t="n">
        <x:f>'Pricing'!$E$4</x:f>
        <x:v>0.175</x:v>
      </x:c>
      <x:c r="L21" s="30" t="n">
        <x:f>IF($Y21="No public API price","",$J21/'Pricing'!$M$2*$K21)</x:f>
        <x:v>169.7415776</x:v>
      </x:c>
      <x:c r="M21" s="28" t="n">
        <x:v>0</x:v>
      </x:c>
      <x:c r="N21" s="29" t="n">
        <x:f>'Pricing'!$F$4</x:f>
        <x:v>0</x:v>
      </x:c>
      <x:c r="O21" s="30" t="n">
        <x:f>IF($Y21="No public API price","",$M21/'Pricing'!$M$2*$N21)</x:f>
        <x:v>0</x:v>
      </x:c>
      <x:c r="P21" s="28" t="n">
        <x:v>0</x:v>
      </x:c>
      <x:c r="Q21" s="29" t="n">
        <x:f>'Pricing'!$G$4</x:f>
        <x:v>0</x:v>
      </x:c>
      <x:c r="R21" s="30" t="n">
        <x:f>IF($Y21="No public API price","",$P21/'Pricing'!$M$2*$Q21)</x:f>
        <x:v>0</x:v>
      </x:c>
      <x:c r="S21" s="28" t="n">
        <x:v>3028917</x:v>
      </x:c>
      <x:c r="T21" s="29" t="n">
        <x:f>'Pricing'!$H$4</x:f>
        <x:v>14</x:v>
      </x:c>
      <x:c r="U21" s="30" t="n">
        <x:f>IF($Y21="No public API price","",$S21/'Pricing'!$M$2*$T21)</x:f>
        <x:v>42.404838</x:v>
      </x:c>
      <x:c r="V21" s="28" t="n">
        <x:v>1507778</x:v>
      </x:c>
      <x:c r="W21" s="28" t="n">
        <x:v>1003481196</x:v>
      </x:c>
      <x:c r="X21" s="30" t="n">
        <x:f>IF($Y21="No public API price","",SUM($I21,$L21,$O21,$R21,$U21))</x:f>
        <x:v>265.52212785</x:v>
      </x:c>
      <x:c r="Y21" s="26" t="str">
        <x:f>'Pricing'!$C$4</x:f>
        <x:v>Published</x:v>
      </x:c>
    </x:row>
    <x:row r="22" ht="20" customHeight="1">
      <x:c r="A22" s="25" t="str">
        <x:v>2026-02-25</x:v>
      </x:c>
      <x:c r="B22" s="26" t="str">
        <x:v>February</x:v>
      </x:c>
      <x:c r="C22" s="27" t="n">
        <x:v>2026</x:v>
      </x:c>
      <x:c r="D22" s="26" t="str">
        <x:v>OpenAI</x:v>
      </x:c>
      <x:c r="E22" s="26" t="str">
        <x:v>gpt-5.3-codex</x:v>
      </x:c>
      <x:c r="F22" s="28" t="n">
        <x:v>1279355584</x:v>
      </x:c>
      <x:c r="G22" s="28" t="n">
        <x:v>44732096</x:v>
      </x:c>
      <x:c r="H22" s="29" t="n">
        <x:f>'Pricing'!$D$4</x:f>
        <x:v>1.75</x:v>
      </x:c>
      <x:c r="I22" s="30" t="n">
        <x:f>IF($Y22="No public API price","",$G22/'Pricing'!$M$2*$H22)</x:f>
        <x:v>78.281168</x:v>
      </x:c>
      <x:c r="J22" s="28" t="n">
        <x:v>1234623488</x:v>
      </x:c>
      <x:c r="K22" s="29" t="n">
        <x:f>'Pricing'!$E$4</x:f>
        <x:v>0.175</x:v>
      </x:c>
      <x:c r="L22" s="30" t="n">
        <x:f>IF($Y22="No public API price","",$J22/'Pricing'!$M$2*$K22)</x:f>
        <x:v>216.05911039999998</x:v>
      </x:c>
      <x:c r="M22" s="28" t="n">
        <x:v>0</x:v>
      </x:c>
      <x:c r="N22" s="29" t="n">
        <x:f>'Pricing'!$F$4</x:f>
        <x:v>0</x:v>
      </x:c>
      <x:c r="O22" s="30" t="n">
        <x:f>IF($Y22="No public API price","",$M22/'Pricing'!$M$2*$N22)</x:f>
        <x:v>0</x:v>
      </x:c>
      <x:c r="P22" s="28" t="n">
        <x:v>0</x:v>
      </x:c>
      <x:c r="Q22" s="29" t="n">
        <x:f>'Pricing'!$G$4</x:f>
        <x:v>0</x:v>
      </x:c>
      <x:c r="R22" s="30" t="n">
        <x:f>IF($Y22="No public API price","",$P22/'Pricing'!$M$2*$Q22)</x:f>
        <x:v>0</x:v>
      </x:c>
      <x:c r="S22" s="28" t="n">
        <x:v>3361124</x:v>
      </x:c>
      <x:c r="T22" s="29" t="n">
        <x:f>'Pricing'!$H$4</x:f>
        <x:v>14</x:v>
      </x:c>
      <x:c r="U22" s="30" t="n">
        <x:f>IF($Y22="No public API price","",$S22/'Pricing'!$M$2*$T22)</x:f>
        <x:v>47.055735999999996</x:v>
      </x:c>
      <x:c r="V22" s="28" t="n">
        <x:v>1658839</x:v>
      </x:c>
      <x:c r="W22" s="28" t="n">
        <x:v>1282716708</x:v>
      </x:c>
      <x:c r="X22" s="30" t="n">
        <x:f>IF($Y22="No public API price","",SUM($I22,$L22,$O22,$R22,$U22))</x:f>
        <x:v>341.3960144</x:v>
      </x:c>
      <x:c r="Y22" s="26" t="str">
        <x:f>'Pricing'!$C$4</x:f>
        <x:v>Published</x:v>
      </x:c>
    </x:row>
    <x:row r="23" ht="20" customHeight="1">
      <x:c r="A23" s="25" t="str">
        <x:v>2026-02-26</x:v>
      </x:c>
      <x:c r="B23" s="26" t="str">
        <x:v>February</x:v>
      </x:c>
      <x:c r="C23" s="27" t="n">
        <x:v>2026</x:v>
      </x:c>
      <x:c r="D23" s="26" t="str">
        <x:v>OpenAI</x:v>
      </x:c>
      <x:c r="E23" s="26" t="str">
        <x:v>gpt-5.3-codex</x:v>
      </x:c>
      <x:c r="F23" s="28" t="n">
        <x:v>309121985</x:v>
      </x:c>
      <x:c r="G23" s="28" t="n">
        <x:v>16534081</x:v>
      </x:c>
      <x:c r="H23" s="29" t="n">
        <x:f>'Pricing'!$D$4</x:f>
        <x:v>1.75</x:v>
      </x:c>
      <x:c r="I23" s="30" t="n">
        <x:f>IF($Y23="No public API price","",$G23/'Pricing'!$M$2*$H23)</x:f>
        <x:v>28.93464175</x:v>
      </x:c>
      <x:c r="J23" s="28" t="n">
        <x:v>292587904</x:v>
      </x:c>
      <x:c r="K23" s="29" t="n">
        <x:f>'Pricing'!$E$4</x:f>
        <x:v>0.175</x:v>
      </x:c>
      <x:c r="L23" s="30" t="n">
        <x:f>IF($Y23="No public API price","",$J23/'Pricing'!$M$2*$K23)</x:f>
        <x:v>51.202883199999995</x:v>
      </x:c>
      <x:c r="M23" s="28" t="n">
        <x:v>0</x:v>
      </x:c>
      <x:c r="N23" s="29" t="n">
        <x:f>'Pricing'!$F$4</x:f>
        <x:v>0</x:v>
      </x:c>
      <x:c r="O23" s="30" t="n">
        <x:f>IF($Y23="No public API price","",$M23/'Pricing'!$M$2*$N23)</x:f>
        <x:v>0</x:v>
      </x:c>
      <x:c r="P23" s="28" t="n">
        <x:v>0</x:v>
      </x:c>
      <x:c r="Q23" s="29" t="n">
        <x:f>'Pricing'!$G$4</x:f>
        <x:v>0</x:v>
      </x:c>
      <x:c r="R23" s="30" t="n">
        <x:f>IF($Y23="No public API price","",$P23/'Pricing'!$M$2*$Q23)</x:f>
        <x:v>0</x:v>
      </x:c>
      <x:c r="S23" s="28" t="n">
        <x:v>1239932</x:v>
      </x:c>
      <x:c r="T23" s="29" t="n">
        <x:f>'Pricing'!$H$4</x:f>
        <x:v>14</x:v>
      </x:c>
      <x:c r="U23" s="30" t="n">
        <x:f>IF($Y23="No public API price","",$S23/'Pricing'!$M$2*$T23)</x:f>
        <x:v>17.359048</x:v>
      </x:c>
      <x:c r="V23" s="28" t="n">
        <x:v>639949</x:v>
      </x:c>
      <x:c r="W23" s="28" t="n">
        <x:v>310361917</x:v>
      </x:c>
      <x:c r="X23" s="30" t="n">
        <x:f>IF($Y23="No public API price","",SUM($I23,$L23,$O23,$R23,$U23))</x:f>
        <x:v>97.49657295</x:v>
      </x:c>
      <x:c r="Y23" s="26" t="str">
        <x:f>'Pricing'!$C$4</x:f>
        <x:v>Published</x:v>
      </x:c>
    </x:row>
    <x:row r="24" ht="20" customHeight="1">
      <x:c r="A24" s="25" t="str">
        <x:v>2026-02-27</x:v>
      </x:c>
      <x:c r="B24" s="26" t="str">
        <x:v>February</x:v>
      </x:c>
      <x:c r="C24" s="27" t="n">
        <x:v>2026</x:v>
      </x:c>
      <x:c r="D24" s="26" t="str">
        <x:v>OpenAI</x:v>
      </x:c>
      <x:c r="E24" s="26" t="str">
        <x:v>gpt-5.3-codex</x:v>
      </x:c>
      <x:c r="F24" s="28" t="n">
        <x:v>4517981481</x:v>
      </x:c>
      <x:c r="G24" s="28" t="n">
        <x:v>127412265</x:v>
      </x:c>
      <x:c r="H24" s="29" t="n">
        <x:f>'Pricing'!$D$4</x:f>
        <x:v>1.75</x:v>
      </x:c>
      <x:c r="I24" s="30" t="n">
        <x:f>IF($Y24="No public API price","",$G24/'Pricing'!$M$2*$H24)</x:f>
        <x:v>222.97146375</x:v>
      </x:c>
      <x:c r="J24" s="28" t="n">
        <x:v>4390569216</x:v>
      </x:c>
      <x:c r="K24" s="29" t="n">
        <x:f>'Pricing'!$E$4</x:f>
        <x:v>0.175</x:v>
      </x:c>
      <x:c r="L24" s="30" t="n">
        <x:f>IF($Y24="No public API price","",$J24/'Pricing'!$M$2*$K24)</x:f>
        <x:v>768.3496127999999</x:v>
      </x:c>
      <x:c r="M24" s="28" t="n">
        <x:v>0</x:v>
      </x:c>
      <x:c r="N24" s="29" t="n">
        <x:f>'Pricing'!$F$4</x:f>
        <x:v>0</x:v>
      </x:c>
      <x:c r="O24" s="30" t="n">
        <x:f>IF($Y24="No public API price","",$M24/'Pricing'!$M$2*$N24)</x:f>
        <x:v>0</x:v>
      </x:c>
      <x:c r="P24" s="28" t="n">
        <x:v>0</x:v>
      </x:c>
      <x:c r="Q24" s="29" t="n">
        <x:f>'Pricing'!$G$4</x:f>
        <x:v>0</x:v>
      </x:c>
      <x:c r="R24" s="30" t="n">
        <x:f>IF($Y24="No public API price","",$P24/'Pricing'!$M$2*$Q24)</x:f>
        <x:v>0</x:v>
      </x:c>
      <x:c r="S24" s="28" t="n">
        <x:v>18122275</x:v>
      </x:c>
      <x:c r="T24" s="29" t="n">
        <x:f>'Pricing'!$H$4</x:f>
        <x:v>14</x:v>
      </x:c>
      <x:c r="U24" s="30" t="n">
        <x:f>IF($Y24="No public API price","",$S24/'Pricing'!$M$2*$T24)</x:f>
        <x:v>253.71184999999997</x:v>
      </x:c>
      <x:c r="V24" s="28" t="n">
        <x:v>9793117</x:v>
      </x:c>
      <x:c r="W24" s="28" t="n">
        <x:v>4536103756</x:v>
      </x:c>
      <x:c r="X24" s="30" t="n">
        <x:f>IF($Y24="No public API price","",SUM($I24,$L24,$O24,$R24,$U24))</x:f>
        <x:v>1245.03292655</x:v>
      </x:c>
      <x:c r="Y24" s="26" t="str">
        <x:f>'Pricing'!$C$4</x:f>
        <x:v>Published</x:v>
      </x:c>
    </x:row>
    <x:row r="25" ht="20" customHeight="1">
      <x:c r="A25" s="25" t="str">
        <x:v>2026-02-28</x:v>
      </x:c>
      <x:c r="B25" s="26" t="str">
        <x:v>February</x:v>
      </x:c>
      <x:c r="C25" s="27" t="n">
        <x:v>2026</x:v>
      </x:c>
      <x:c r="D25" s="26" t="str">
        <x:v>OpenAI</x:v>
      </x:c>
      <x:c r="E25" s="26" t="str">
        <x:v>gpt-5.3-codex</x:v>
      </x:c>
      <x:c r="F25" s="28" t="n">
        <x:v>2744911679</x:v>
      </x:c>
      <x:c r="G25" s="28" t="n">
        <x:v>67699391</x:v>
      </x:c>
      <x:c r="H25" s="29" t="n">
        <x:f>'Pricing'!$D$4</x:f>
        <x:v>1.75</x:v>
      </x:c>
      <x:c r="I25" s="30" t="n">
        <x:f>IF($Y25="No public API price","",$G25/'Pricing'!$M$2*$H25)</x:f>
        <x:v>118.47393425000001</x:v>
      </x:c>
      <x:c r="J25" s="28" t="n">
        <x:v>2677212288</x:v>
      </x:c>
      <x:c r="K25" s="29" t="n">
        <x:f>'Pricing'!$E$4</x:f>
        <x:v>0.175</x:v>
      </x:c>
      <x:c r="L25" s="30" t="n">
        <x:f>IF($Y25="No public API price","",$J25/'Pricing'!$M$2*$K25)</x:f>
        <x:v>468.5121504</x:v>
      </x:c>
      <x:c r="M25" s="28" t="n">
        <x:v>0</x:v>
      </x:c>
      <x:c r="N25" s="29" t="n">
        <x:f>'Pricing'!$F$4</x:f>
        <x:v>0</x:v>
      </x:c>
      <x:c r="O25" s="30" t="n">
        <x:f>IF($Y25="No public API price","",$M25/'Pricing'!$M$2*$N25)</x:f>
        <x:v>0</x:v>
      </x:c>
      <x:c r="P25" s="28" t="n">
        <x:v>0</x:v>
      </x:c>
      <x:c r="Q25" s="29" t="n">
        <x:f>'Pricing'!$G$4</x:f>
        <x:v>0</x:v>
      </x:c>
      <x:c r="R25" s="30" t="n">
        <x:f>IF($Y25="No public API price","",$P25/'Pricing'!$M$2*$Q25)</x:f>
        <x:v>0</x:v>
      </x:c>
      <x:c r="S25" s="28" t="n">
        <x:v>8783382</x:v>
      </x:c>
      <x:c r="T25" s="29" t="n">
        <x:f>'Pricing'!$H$4</x:f>
        <x:v>14</x:v>
      </x:c>
      <x:c r="U25" s="30" t="n">
        <x:f>IF($Y25="No public API price","",$S25/'Pricing'!$M$2*$T25)</x:f>
        <x:v>122.96734799999999</x:v>
      </x:c>
      <x:c r="V25" s="28" t="n">
        <x:v>4699104</x:v>
      </x:c>
      <x:c r="W25" s="28" t="n">
        <x:v>2753695061</x:v>
      </x:c>
      <x:c r="X25" s="30" t="n">
        <x:f>IF($Y25="No public API price","",SUM($I25,$L25,$O25,$R25,$U25))</x:f>
        <x:v>709.9534326500001</x:v>
      </x:c>
      <x:c r="Y25" s="26" t="str">
        <x:f>'Pricing'!$C$4</x:f>
        <x:v>Published</x:v>
      </x:c>
    </x:row>
    <x:row r="26" ht="20" customHeight="1">
      <x:c r="A26" s="25" t="str">
        <x:v>2026-02-28</x:v>
      </x:c>
      <x:c r="B26" s="26" t="str">
        <x:v>February</x:v>
      </x:c>
      <x:c r="C26" s="27" t="n">
        <x:v>2026</x:v>
      </x:c>
      <x:c r="D26" s="26" t="str">
        <x:v>OpenAI</x:v>
      </x:c>
      <x:c r="E26" s="26" t="str">
        <x:v>gpt-5.3-codex-spark</x:v>
      </x:c>
      <x:c r="F26" s="28" t="n">
        <x:v>1445610238</x:v>
      </x:c>
      <x:c r="G26" s="28" t="n">
        <x:v>56440446</x:v>
      </x:c>
      <x:c r="H26" s="29" t="n">
        <x:f>'Pricing'!$D$5</x:f>
        <x:v>1.75</x:v>
      </x:c>
      <x:c r="I26" s="30" t="n">
        <x:f>IF($Y26="No public API price","",$G26/'Pricing'!$M$2*$H26)</x:f>
        <x:v>98.7707805</x:v>
      </x:c>
      <x:c r="J26" s="28" t="n">
        <x:v>1389169792</x:v>
      </x:c>
      <x:c r="K26" s="29" t="n">
        <x:f>'Pricing'!$E$5</x:f>
        <x:v>0.175</x:v>
      </x:c>
      <x:c r="L26" s="30" t="n">
        <x:f>IF($Y26="No public API price","",$J26/'Pricing'!$M$2*$K26)</x:f>
        <x:v>243.10471359999997</x:v>
      </x:c>
      <x:c r="M26" s="28" t="n">
        <x:v>0</x:v>
      </x:c>
      <x:c r="N26" s="29" t="n">
        <x:f>'Pricing'!$F$5</x:f>
        <x:v>0</x:v>
      </x:c>
      <x:c r="O26" s="30" t="n">
        <x:f>IF($Y26="No public API price","",$M26/'Pricing'!$M$2*$N26)</x:f>
        <x:v>0</x:v>
      </x:c>
      <x:c r="P26" s="28" t="n">
        <x:v>0</x:v>
      </x:c>
      <x:c r="Q26" s="29" t="n">
        <x:f>'Pricing'!$G$5</x:f>
        <x:v>0</x:v>
      </x:c>
      <x:c r="R26" s="30" t="n">
        <x:f>IF($Y26="No public API price","",$P26/'Pricing'!$M$2*$Q26)</x:f>
        <x:v>0</x:v>
      </x:c>
      <x:c r="S26" s="28" t="n">
        <x:v>8520031</x:v>
      </x:c>
      <x:c r="T26" s="29" t="n">
        <x:f>'Pricing'!$H$5</x:f>
        <x:v>14</x:v>
      </x:c>
      <x:c r="U26" s="30" t="n">
        <x:f>IF($Y26="No public API price","",$S26/'Pricing'!$M$2*$T26)</x:f>
        <x:v>119.28043399999999</x:v>
      </x:c>
      <x:c r="V26" s="28" t="n">
        <x:v>5404145</x:v>
      </x:c>
      <x:c r="W26" s="28" t="n">
        <x:v>1454130269</x:v>
      </x:c>
      <x:c r="X26" s="30" t="n">
        <x:f>IF($Y26="No public API price","",SUM($I26,$L26,$O26,$R26,$U26))</x:f>
        <x:v>461.1559281</x:v>
      </x:c>
      <x:c r="Y26" s="26" t="str">
        <x:f>'Pricing'!$C$5</x:f>
        <x:v>User-selected proxy</x:v>
      </x:c>
    </x:row>
    <x:row r="27" ht="20" customHeight="1">
      <x:c r="A27" s="25" t="str">
        <x:v>2026-03-01</x:v>
      </x:c>
      <x:c r="B27" s="26" t="str">
        <x:v>March</x:v>
      </x:c>
      <x:c r="C27" s="27" t="n">
        <x:v>2026</x:v>
      </x:c>
      <x:c r="D27" s="26" t="str">
        <x:v>OpenAI</x:v>
      </x:c>
      <x:c r="E27" s="26" t="str">
        <x:v>gpt-5.3-codex</x:v>
      </x:c>
      <x:c r="F27" s="28" t="n">
        <x:v>1009037411</x:v>
      </x:c>
      <x:c r="G27" s="28" t="n">
        <x:v>24341347</x:v>
      </x:c>
      <x:c r="H27" s="29" t="n">
        <x:f>'Pricing'!$D$4</x:f>
        <x:v>1.75</x:v>
      </x:c>
      <x:c r="I27" s="30" t="n">
        <x:f>IF($Y27="No public API price","",$G27/'Pricing'!$M$2*$H27)</x:f>
        <x:v>42.59735725</x:v>
      </x:c>
      <x:c r="J27" s="28" t="n">
        <x:v>984696064</x:v>
      </x:c>
      <x:c r="K27" s="29" t="n">
        <x:f>'Pricing'!$E$4</x:f>
        <x:v>0.175</x:v>
      </x:c>
      <x:c r="L27" s="30" t="n">
        <x:f>IF($Y27="No public API price","",$J27/'Pricing'!$M$2*$K27)</x:f>
        <x:v>172.32181119999998</x:v>
      </x:c>
      <x:c r="M27" s="28" t="n">
        <x:v>0</x:v>
      </x:c>
      <x:c r="N27" s="29" t="n">
        <x:f>'Pricing'!$F$4</x:f>
        <x:v>0</x:v>
      </x:c>
      <x:c r="O27" s="30" t="n">
        <x:f>IF($Y27="No public API price","",$M27/'Pricing'!$M$2*$N27)</x:f>
        <x:v>0</x:v>
      </x:c>
      <x:c r="P27" s="28" t="n">
        <x:v>0</x:v>
      </x:c>
      <x:c r="Q27" s="29" t="n">
        <x:f>'Pricing'!$G$4</x:f>
        <x:v>0</x:v>
      </x:c>
      <x:c r="R27" s="30" t="n">
        <x:f>IF($Y27="No public API price","",$P27/'Pricing'!$M$2*$Q27)</x:f>
        <x:v>0</x:v>
      </x:c>
      <x:c r="S27" s="28" t="n">
        <x:v>2803656</x:v>
      </x:c>
      <x:c r="T27" s="29" t="n">
        <x:f>'Pricing'!$H$4</x:f>
        <x:v>14</x:v>
      </x:c>
      <x:c r="U27" s="30" t="n">
        <x:f>IF($Y27="No public API price","",$S27/'Pricing'!$M$2*$T27)</x:f>
        <x:v>39.251184</x:v>
      </x:c>
      <x:c r="V27" s="28" t="n">
        <x:v>1414040</x:v>
      </x:c>
      <x:c r="W27" s="28" t="n">
        <x:v>1011841067</x:v>
      </x:c>
      <x:c r="X27" s="30" t="n">
        <x:f>IF($Y27="No public API price","",SUM($I27,$L27,$O27,$R27,$U27))</x:f>
        <x:v>254.17035244999997</x:v>
      </x:c>
      <x:c r="Y27" s="26" t="str">
        <x:f>'Pricing'!$C$4</x:f>
        <x:v>Published</x:v>
      </x:c>
    </x:row>
    <x:row r="28" ht="20" customHeight="1">
      <x:c r="A28" s="25" t="str">
        <x:v>2026-03-01</x:v>
      </x:c>
      <x:c r="B28" s="26" t="str">
        <x:v>March</x:v>
      </x:c>
      <x:c r="C28" s="27" t="n">
        <x:v>2026</x:v>
      </x:c>
      <x:c r="D28" s="26" t="str">
        <x:v>OpenAI</x:v>
      </x:c>
      <x:c r="E28" s="26" t="str">
        <x:v>gpt-5.3-codex-spark</x:v>
      </x:c>
      <x:c r="F28" s="28" t="n">
        <x:v>865742038</x:v>
      </x:c>
      <x:c r="G28" s="28" t="n">
        <x:v>35441750</x:v>
      </x:c>
      <x:c r="H28" s="29" t="n">
        <x:f>'Pricing'!$D$5</x:f>
        <x:v>1.75</x:v>
      </x:c>
      <x:c r="I28" s="30" t="n">
        <x:f>IF($Y28="No public API price","",$G28/'Pricing'!$M$2*$H28)</x:f>
        <x:v>62.023062499999995</x:v>
      </x:c>
      <x:c r="J28" s="28" t="n">
        <x:v>830300288</x:v>
      </x:c>
      <x:c r="K28" s="29" t="n">
        <x:f>'Pricing'!$E$5</x:f>
        <x:v>0.175</x:v>
      </x:c>
      <x:c r="L28" s="30" t="n">
        <x:f>IF($Y28="No public API price","",$J28/'Pricing'!$M$2*$K28)</x:f>
        <x:v>145.3025504</x:v>
      </x:c>
      <x:c r="M28" s="28" t="n">
        <x:v>0</x:v>
      </x:c>
      <x:c r="N28" s="29" t="n">
        <x:f>'Pricing'!$F$5</x:f>
        <x:v>0</x:v>
      </x:c>
      <x:c r="O28" s="30" t="n">
        <x:f>IF($Y28="No public API price","",$M28/'Pricing'!$M$2*$N28)</x:f>
        <x:v>0</x:v>
      </x:c>
      <x:c r="P28" s="28" t="n">
        <x:v>0</x:v>
      </x:c>
      <x:c r="Q28" s="29" t="n">
        <x:f>'Pricing'!$G$5</x:f>
        <x:v>0</x:v>
      </x:c>
      <x:c r="R28" s="30" t="n">
        <x:f>IF($Y28="No public API price","",$P28/'Pricing'!$M$2*$Q28)</x:f>
        <x:v>0</x:v>
      </x:c>
      <x:c r="S28" s="28" t="n">
        <x:v>5143663</x:v>
      </x:c>
      <x:c r="T28" s="29" t="n">
        <x:f>'Pricing'!$H$5</x:f>
        <x:v>14</x:v>
      </x:c>
      <x:c r="U28" s="30" t="n">
        <x:f>IF($Y28="No public API price","",$S28/'Pricing'!$M$2*$T28)</x:f>
        <x:v>72.011282</x:v>
      </x:c>
      <x:c r="V28" s="28" t="n">
        <x:v>3325405</x:v>
      </x:c>
      <x:c r="W28" s="28" t="n">
        <x:v>870885701</x:v>
      </x:c>
      <x:c r="X28" s="30" t="n">
        <x:f>IF($Y28="No public API price","",SUM($I28,$L28,$O28,$R28,$U28))</x:f>
        <x:v>279.3368949</x:v>
      </x:c>
      <x:c r="Y28" s="26" t="str">
        <x:f>'Pricing'!$C$5</x:f>
        <x:v>User-selected proxy</x:v>
      </x:c>
    </x:row>
    <x:row r="29" ht="20" customHeight="1">
      <x:c r="A29" s="25" t="str">
        <x:v>2026-03-02</x:v>
      </x:c>
      <x:c r="B29" s="26" t="str">
        <x:v>March</x:v>
      </x:c>
      <x:c r="C29" s="27" t="n">
        <x:v>2026</x:v>
      </x:c>
      <x:c r="D29" s="26" t="str">
        <x:v>OpenAI</x:v>
      </x:c>
      <x:c r="E29" s="26" t="str">
        <x:v>gpt-5.3-codex</x:v>
      </x:c>
      <x:c r="F29" s="28" t="n">
        <x:v>860799967</x:v>
      </x:c>
      <x:c r="G29" s="28" t="n">
        <x:v>24170463</x:v>
      </x:c>
      <x:c r="H29" s="29" t="n">
        <x:f>'Pricing'!$D$4</x:f>
        <x:v>1.75</x:v>
      </x:c>
      <x:c r="I29" s="30" t="n">
        <x:f>IF($Y29="No public API price","",$G29/'Pricing'!$M$2*$H29)</x:f>
        <x:v>42.29831025</x:v>
      </x:c>
      <x:c r="J29" s="28" t="n">
        <x:v>836629504</x:v>
      </x:c>
      <x:c r="K29" s="29" t="n">
        <x:f>'Pricing'!$E$4</x:f>
        <x:v>0.175</x:v>
      </x:c>
      <x:c r="L29" s="30" t="n">
        <x:f>IF($Y29="No public API price","",$J29/'Pricing'!$M$2*$K29)</x:f>
        <x:v>146.4101632</x:v>
      </x:c>
      <x:c r="M29" s="28" t="n">
        <x:v>0</x:v>
      </x:c>
      <x:c r="N29" s="29" t="n">
        <x:f>'Pricing'!$F$4</x:f>
        <x:v>0</x:v>
      </x:c>
      <x:c r="O29" s="30" t="n">
        <x:f>IF($Y29="No public API price","",$M29/'Pricing'!$M$2*$N29)</x:f>
        <x:v>0</x:v>
      </x:c>
      <x:c r="P29" s="28" t="n">
        <x:v>0</x:v>
      </x:c>
      <x:c r="Q29" s="29" t="n">
        <x:f>'Pricing'!$G$4</x:f>
        <x:v>0</x:v>
      </x:c>
      <x:c r="R29" s="30" t="n">
        <x:f>IF($Y29="No public API price","",$P29/'Pricing'!$M$2*$Q29)</x:f>
        <x:v>0</x:v>
      </x:c>
      <x:c r="S29" s="28" t="n">
        <x:v>2765261</x:v>
      </x:c>
      <x:c r="T29" s="29" t="n">
        <x:f>'Pricing'!$H$4</x:f>
        <x:v>14</x:v>
      </x:c>
      <x:c r="U29" s="30" t="n">
        <x:f>IF($Y29="No public API price","",$S29/'Pricing'!$M$2*$T29)</x:f>
        <x:v>38.713654000000005</x:v>
      </x:c>
      <x:c r="V29" s="28" t="n">
        <x:v>1454730</x:v>
      </x:c>
      <x:c r="W29" s="28" t="n">
        <x:v>863565228</x:v>
      </x:c>
      <x:c r="X29" s="30" t="n">
        <x:f>IF($Y29="No public API price","",SUM($I29,$L29,$O29,$R29,$U29))</x:f>
        <x:v>227.42212745</x:v>
      </x:c>
      <x:c r="Y29" s="26" t="str">
        <x:f>'Pricing'!$C$4</x:f>
        <x:v>Published</x:v>
      </x:c>
    </x:row>
    <x:row r="30" ht="20" customHeight="1">
      <x:c r="A30" s="25" t="str">
        <x:v>2026-03-02</x:v>
      </x:c>
      <x:c r="B30" s="26" t="str">
        <x:v>March</x:v>
      </x:c>
      <x:c r="C30" s="27" t="n">
        <x:v>2026</x:v>
      </x:c>
      <x:c r="D30" s="26" t="str">
        <x:v>OpenAI</x:v>
      </x:c>
      <x:c r="E30" s="26" t="str">
        <x:v>gpt-5.3-codex-spark</x:v>
      </x:c>
      <x:c r="F30" s="28" t="n">
        <x:v>1564951732</x:v>
      </x:c>
      <x:c r="G30" s="28" t="n">
        <x:v>65799860</x:v>
      </x:c>
      <x:c r="H30" s="29" t="n">
        <x:f>'Pricing'!$D$5</x:f>
        <x:v>1.75</x:v>
      </x:c>
      <x:c r="I30" s="30" t="n">
        <x:f>IF($Y30="No public API price","",$G30/'Pricing'!$M$2*$H30)</x:f>
        <x:v>115.149755</x:v>
      </x:c>
      <x:c r="J30" s="28" t="n">
        <x:v>1499151872</x:v>
      </x:c>
      <x:c r="K30" s="29" t="n">
        <x:f>'Pricing'!$E$5</x:f>
        <x:v>0.175</x:v>
      </x:c>
      <x:c r="L30" s="30" t="n">
        <x:f>IF($Y30="No public API price","",$J30/'Pricing'!$M$2*$K30)</x:f>
        <x:v>262.3515776</x:v>
      </x:c>
      <x:c r="M30" s="28" t="n">
        <x:v>0</x:v>
      </x:c>
      <x:c r="N30" s="29" t="n">
        <x:f>'Pricing'!$F$5</x:f>
        <x:v>0</x:v>
      </x:c>
      <x:c r="O30" s="30" t="n">
        <x:f>IF($Y30="No public API price","",$M30/'Pricing'!$M$2*$N30)</x:f>
        <x:v>0</x:v>
      </x:c>
      <x:c r="P30" s="28" t="n">
        <x:v>0</x:v>
      </x:c>
      <x:c r="Q30" s="29" t="n">
        <x:f>'Pricing'!$G$5</x:f>
        <x:v>0</x:v>
      </x:c>
      <x:c r="R30" s="30" t="n">
        <x:f>IF($Y30="No public API price","",$P30/'Pricing'!$M$2*$Q30)</x:f>
        <x:v>0</x:v>
      </x:c>
      <x:c r="S30" s="28" t="n">
        <x:v>9303274</x:v>
      </x:c>
      <x:c r="T30" s="29" t="n">
        <x:f>'Pricing'!$H$5</x:f>
        <x:v>14</x:v>
      </x:c>
      <x:c r="U30" s="30" t="n">
        <x:f>IF($Y30="No public API price","",$S30/'Pricing'!$M$2*$T30)</x:f>
        <x:v>130.245836</x:v>
      </x:c>
      <x:c r="V30" s="28" t="n">
        <x:v>5920645</x:v>
      </x:c>
      <x:c r="W30" s="28" t="n">
        <x:v>1574255006</x:v>
      </x:c>
      <x:c r="X30" s="30" t="n">
        <x:f>IF($Y30="No public API price","",SUM($I30,$L30,$O30,$R30,$U30))</x:f>
        <x:v>507.74716859999995</x:v>
      </x:c>
      <x:c r="Y30" s="26" t="str">
        <x:f>'Pricing'!$C$5</x:f>
        <x:v>User-selected proxy</x:v>
      </x:c>
    </x:row>
    <x:row r="31" ht="20" customHeight="1">
      <x:c r="A31" s="25" t="str">
        <x:v>2026-03-03</x:v>
      </x:c>
      <x:c r="B31" s="26" t="str">
        <x:v>March</x:v>
      </x:c>
      <x:c r="C31" s="27" t="n">
        <x:v>2026</x:v>
      </x:c>
      <x:c r="D31" s="26" t="str">
        <x:v>OpenAI</x:v>
      </x:c>
      <x:c r="E31" s="26" t="str">
        <x:v>gpt-5.3-codex</x:v>
      </x:c>
      <x:c r="F31" s="28" t="n">
        <x:v>506207783</x:v>
      </x:c>
      <x:c r="G31" s="28" t="n">
        <x:v>9165095</x:v>
      </x:c>
      <x:c r="H31" s="29" t="n">
        <x:f>'Pricing'!$D$4</x:f>
        <x:v>1.75</x:v>
      </x:c>
      <x:c r="I31" s="30" t="n">
        <x:f>IF($Y31="No public API price","",$G31/'Pricing'!$M$2*$H31)</x:f>
        <x:v>16.03891625</x:v>
      </x:c>
      <x:c r="J31" s="28" t="n">
        <x:v>497042688</x:v>
      </x:c>
      <x:c r="K31" s="29" t="n">
        <x:f>'Pricing'!$E$4</x:f>
        <x:v>0.175</x:v>
      </x:c>
      <x:c r="L31" s="30" t="n">
        <x:f>IF($Y31="No public API price","",$J31/'Pricing'!$M$2*$K31)</x:f>
        <x:v>86.9824704</x:v>
      </x:c>
      <x:c r="M31" s="28" t="n">
        <x:v>0</x:v>
      </x:c>
      <x:c r="N31" s="29" t="n">
        <x:f>'Pricing'!$F$4</x:f>
        <x:v>0</x:v>
      </x:c>
      <x:c r="O31" s="30" t="n">
        <x:f>IF($Y31="No public API price","",$M31/'Pricing'!$M$2*$N31)</x:f>
        <x:v>0</x:v>
      </x:c>
      <x:c r="P31" s="28" t="n">
        <x:v>0</x:v>
      </x:c>
      <x:c r="Q31" s="29" t="n">
        <x:f>'Pricing'!$G$4</x:f>
        <x:v>0</x:v>
      </x:c>
      <x:c r="R31" s="30" t="n">
        <x:f>IF($Y31="No public API price","",$P31/'Pricing'!$M$2*$Q31)</x:f>
        <x:v>0</x:v>
      </x:c>
      <x:c r="S31" s="28" t="n">
        <x:v>1234579</x:v>
      </x:c>
      <x:c r="T31" s="29" t="n">
        <x:f>'Pricing'!$H$4</x:f>
        <x:v>14</x:v>
      </x:c>
      <x:c r="U31" s="30" t="n">
        <x:f>IF($Y31="No public API price","",$S31/'Pricing'!$M$2*$T31)</x:f>
        <x:v>17.284106</x:v>
      </x:c>
      <x:c r="V31" s="28" t="n">
        <x:v>615021</x:v>
      </x:c>
      <x:c r="W31" s="28" t="n">
        <x:v>507442362</x:v>
      </x:c>
      <x:c r="X31" s="30" t="n">
        <x:f>IF($Y31="No public API price","",SUM($I31,$L31,$O31,$R31,$U31))</x:f>
        <x:v>120.30549264999999</x:v>
      </x:c>
      <x:c r="Y31" s="26" t="str">
        <x:f>'Pricing'!$C$4</x:f>
        <x:v>Published</x:v>
      </x:c>
    </x:row>
    <x:row r="32" ht="20" customHeight="1">
      <x:c r="A32" s="25" t="str">
        <x:v>2026-03-04</x:v>
      </x:c>
      <x:c r="B32" s="26" t="str">
        <x:v>March</x:v>
      </x:c>
      <x:c r="C32" s="27" t="n">
        <x:v>2026</x:v>
      </x:c>
      <x:c r="D32" s="26" t="str">
        <x:v>OpenAI</x:v>
      </x:c>
      <x:c r="E32" s="26" t="str">
        <x:v>gpt-5.3-codex</x:v>
      </x:c>
      <x:c r="F32" s="28" t="n">
        <x:v>1387925</x:v>
      </x:c>
      <x:c r="G32" s="28" t="n">
        <x:v>57365</x:v>
      </x:c>
      <x:c r="H32" s="29" t="n">
        <x:f>'Pricing'!$D$4</x:f>
        <x:v>1.75</x:v>
      </x:c>
      <x:c r="I32" s="30" t="n">
        <x:f>IF($Y32="No public API price","",$G32/'Pricing'!$M$2*$H32)</x:f>
        <x:v>0.10038875</x:v>
      </x:c>
      <x:c r="J32" s="28" t="n">
        <x:v>1330560</x:v>
      </x:c>
      <x:c r="K32" s="29" t="n">
        <x:f>'Pricing'!$E$4</x:f>
        <x:v>0.175</x:v>
      </x:c>
      <x:c r="L32" s="30" t="n">
        <x:f>IF($Y32="No public API price","",$J32/'Pricing'!$M$2*$K32)</x:f>
        <x:v>0.23284799999999997</x:v>
      </x:c>
      <x:c r="M32" s="28" t="n">
        <x:v>0</x:v>
      </x:c>
      <x:c r="N32" s="29" t="n">
        <x:f>'Pricing'!$F$4</x:f>
        <x:v>0</x:v>
      </x:c>
      <x:c r="O32" s="30" t="n">
        <x:f>IF($Y32="No public API price","",$M32/'Pricing'!$M$2*$N32)</x:f>
        <x:v>0</x:v>
      </x:c>
      <x:c r="P32" s="28" t="n">
        <x:v>0</x:v>
      </x:c>
      <x:c r="Q32" s="29" t="n">
        <x:f>'Pricing'!$G$4</x:f>
        <x:v>0</x:v>
      </x:c>
      <x:c r="R32" s="30" t="n">
        <x:f>IF($Y32="No public API price","",$P32/'Pricing'!$M$2*$Q32)</x:f>
        <x:v>0</x:v>
      </x:c>
      <x:c r="S32" s="28" t="n">
        <x:v>19674</x:v>
      </x:c>
      <x:c r="T32" s="29" t="n">
        <x:f>'Pricing'!$H$4</x:f>
        <x:v>14</x:v>
      </x:c>
      <x:c r="U32" s="30" t="n">
        <x:f>IF($Y32="No public API price","",$S32/'Pricing'!$M$2*$T32)</x:f>
        <x:v>0.275436</x:v>
      </x:c>
      <x:c r="V32" s="28" t="n">
        <x:v>14720</x:v>
      </x:c>
      <x:c r="W32" s="28" t="n">
        <x:v>1407599</x:v>
      </x:c>
      <x:c r="X32" s="30" t="n">
        <x:f>IF($Y32="No public API price","",SUM($I32,$L32,$O32,$R32,$U32))</x:f>
        <x:v>0.60867275</x:v>
      </x:c>
      <x:c r="Y32" s="26" t="str">
        <x:f>'Pricing'!$C$4</x:f>
        <x:v>Published</x:v>
      </x:c>
    </x:row>
    <x:row r="33" ht="20" customHeight="1">
      <x:c r="A33" s="25" t="str">
        <x:v>2026-03-05</x:v>
      </x:c>
      <x:c r="B33" s="26" t="str">
        <x:v>March</x:v>
      </x:c>
      <x:c r="C33" s="27" t="n">
        <x:v>2026</x:v>
      </x:c>
      <x:c r="D33" s="26" t="str">
        <x:v>OpenAI</x:v>
      </x:c>
      <x:c r="E33" s="26" t="str">
        <x:v>gpt-5.3-codex</x:v>
      </x:c>
      <x:c r="F33" s="28" t="n">
        <x:v>2801398</x:v>
      </x:c>
      <x:c r="G33" s="28" t="n">
        <x:v>100470</x:v>
      </x:c>
      <x:c r="H33" s="29" t="n">
        <x:f>'Pricing'!$D$4</x:f>
        <x:v>1.75</x:v>
      </x:c>
      <x:c r="I33" s="30" t="n">
        <x:f>IF($Y33="No public API price","",$G33/'Pricing'!$M$2*$H33)</x:f>
        <x:v>0.1758225</x:v>
      </x:c>
      <x:c r="J33" s="28" t="n">
        <x:v>2700928</x:v>
      </x:c>
      <x:c r="K33" s="29" t="n">
        <x:f>'Pricing'!$E$4</x:f>
        <x:v>0.175</x:v>
      </x:c>
      <x:c r="L33" s="30" t="n">
        <x:f>IF($Y33="No public API price","",$J33/'Pricing'!$M$2*$K33)</x:f>
        <x:v>0.4726624</x:v>
      </x:c>
      <x:c r="M33" s="28" t="n">
        <x:v>0</x:v>
      </x:c>
      <x:c r="N33" s="29" t="n">
        <x:f>'Pricing'!$F$4</x:f>
        <x:v>0</x:v>
      </x:c>
      <x:c r="O33" s="30" t="n">
        <x:f>IF($Y33="No public API price","",$M33/'Pricing'!$M$2*$N33)</x:f>
        <x:v>0</x:v>
      </x:c>
      <x:c r="P33" s="28" t="n">
        <x:v>0</x:v>
      </x:c>
      <x:c r="Q33" s="29" t="n">
        <x:f>'Pricing'!$G$4</x:f>
        <x:v>0</x:v>
      </x:c>
      <x:c r="R33" s="30" t="n">
        <x:f>IF($Y33="No public API price","",$P33/'Pricing'!$M$2*$Q33)</x:f>
        <x:v>0</x:v>
      </x:c>
      <x:c r="S33" s="28" t="n">
        <x:v>8320</x:v>
      </x:c>
      <x:c r="T33" s="29" t="n">
        <x:f>'Pricing'!$H$4</x:f>
        <x:v>14</x:v>
      </x:c>
      <x:c r="U33" s="30" t="n">
        <x:f>IF($Y33="No public API price","",$S33/'Pricing'!$M$2*$T33)</x:f>
        <x:v>0.11647999999999999</x:v>
      </x:c>
      <x:c r="V33" s="28" t="n">
        <x:v>5392</x:v>
      </x:c>
      <x:c r="W33" s="28" t="n">
        <x:v>2809718</x:v>
      </x:c>
      <x:c r="X33" s="30" t="n">
        <x:f>IF($Y33="No public API price","",SUM($I33,$L33,$O33,$R33,$U33))</x:f>
        <x:v>0.7649649</x:v>
      </x:c>
      <x:c r="Y33" s="26" t="str">
        <x:f>'Pricing'!$C$4</x:f>
        <x:v>Published</x:v>
      </x:c>
    </x:row>
    <x:row r="34" ht="20" customHeight="1">
      <x:c r="A34" s="25" t="str">
        <x:v>2026-03-05</x:v>
      </x:c>
      <x:c r="B34" s="26" t="str">
        <x:v>March</x:v>
      </x:c>
      <x:c r="C34" s="27" t="n">
        <x:v>2026</x:v>
      </x:c>
      <x:c r="D34" s="26" t="str">
        <x:v>OpenAI</x:v>
      </x:c>
      <x:c r="E34" s="26" t="str">
        <x:v>gpt-5.4</x:v>
      </x:c>
      <x:c r="F34" s="28" t="n">
        <x:v>6995922</x:v>
      </x:c>
      <x:c r="G34" s="28" t="n">
        <x:v>567890</x:v>
      </x:c>
      <x:c r="H34" s="29" t="n">
        <x:f>'Pricing'!$D$6</x:f>
        <x:v>2.5</x:v>
      </x:c>
      <x:c r="I34" s="30" t="n">
        <x:f>IF($Y34="No public API price","",$G34/'Pricing'!$M$2*$H34)</x:f>
        <x:v>1.4197250000000001</x:v>
      </x:c>
      <x:c r="J34" s="28" t="n">
        <x:v>6428032</x:v>
      </x:c>
      <x:c r="K34" s="29" t="n">
        <x:f>'Pricing'!$E$6</x:f>
        <x:v>0.25</x:v>
      </x:c>
      <x:c r="L34" s="30" t="n">
        <x:f>IF($Y34="No public API price","",$J34/'Pricing'!$M$2*$K34)</x:f>
        <x:v>1.607008</x:v>
      </x:c>
      <x:c r="M34" s="28" t="n">
        <x:v>0</x:v>
      </x:c>
      <x:c r="N34" s="29" t="n">
        <x:f>'Pricing'!$F$6</x:f>
        <x:v>0</x:v>
      </x:c>
      <x:c r="O34" s="30" t="n">
        <x:f>IF($Y34="No public API price","",$M34/'Pricing'!$M$2*$N34)</x:f>
        <x:v>0</x:v>
      </x:c>
      <x:c r="P34" s="28" t="n">
        <x:v>0</x:v>
      </x:c>
      <x:c r="Q34" s="29" t="n">
        <x:f>'Pricing'!$G$6</x:f>
        <x:v>0</x:v>
      </x:c>
      <x:c r="R34" s="30" t="n">
        <x:f>IF($Y34="No public API price","",$P34/'Pricing'!$M$2*$Q34)</x:f>
        <x:v>0</x:v>
      </x:c>
      <x:c r="S34" s="28" t="n">
        <x:v>71853</x:v>
      </x:c>
      <x:c r="T34" s="29" t="n">
        <x:f>'Pricing'!$H$6</x:f>
        <x:v>15</x:v>
      </x:c>
      <x:c r="U34" s="30" t="n">
        <x:f>IF($Y34="No public API price","",$S34/'Pricing'!$M$2*$T34)</x:f>
        <x:v>1.077795</x:v>
      </x:c>
      <x:c r="V34" s="28" t="n">
        <x:v>42661</x:v>
      </x:c>
      <x:c r="W34" s="28" t="n">
        <x:v>7067775</x:v>
      </x:c>
      <x:c r="X34" s="30" t="n">
        <x:f>IF($Y34="No public API price","",SUM($I34,$L34,$O34,$R34,$U34))</x:f>
        <x:v>4.104528</x:v>
      </x:c>
      <x:c r="Y34" s="26" t="str">
        <x:f>'Pricing'!$C$6</x:f>
        <x:v>Published</x:v>
      </x:c>
    </x:row>
    <x:row r="35" ht="20" customHeight="1">
      <x:c r="A35" s="25" t="str">
        <x:v>2026-03-06</x:v>
      </x:c>
      <x:c r="B35" s="26" t="str">
        <x:v>March</x:v>
      </x:c>
      <x:c r="C35" s="27" t="n">
        <x:v>2026</x:v>
      </x:c>
      <x:c r="D35" s="26" t="str">
        <x:v>OpenAI</x:v>
      </x:c>
      <x:c r="E35" s="26" t="str">
        <x:v>gpt-5.4</x:v>
      </x:c>
      <x:c r="F35" s="28" t="n">
        <x:v>1453041</x:v>
      </x:c>
      <x:c r="G35" s="28" t="n">
        <x:v>134769</x:v>
      </x:c>
      <x:c r="H35" s="29" t="n">
        <x:f>'Pricing'!$D$6</x:f>
        <x:v>2.5</x:v>
      </x:c>
      <x:c r="I35" s="30" t="n">
        <x:f>IF($Y35="No public API price","",$G35/'Pricing'!$M$2*$H35)</x:f>
        <x:v>0.3369225</x:v>
      </x:c>
      <x:c r="J35" s="28" t="n">
        <x:v>1318272</x:v>
      </x:c>
      <x:c r="K35" s="29" t="n">
        <x:f>'Pricing'!$E$6</x:f>
        <x:v>0.25</x:v>
      </x:c>
      <x:c r="L35" s="30" t="n">
        <x:f>IF($Y35="No public API price","",$J35/'Pricing'!$M$2*$K35)</x:f>
        <x:v>0.329568</x:v>
      </x:c>
      <x:c r="M35" s="28" t="n">
        <x:v>0</x:v>
      </x:c>
      <x:c r="N35" s="29" t="n">
        <x:f>'Pricing'!$F$6</x:f>
        <x:v>0</x:v>
      </x:c>
      <x:c r="O35" s="30" t="n">
        <x:f>IF($Y35="No public API price","",$M35/'Pricing'!$M$2*$N35)</x:f>
        <x:v>0</x:v>
      </x:c>
      <x:c r="P35" s="28" t="n">
        <x:v>0</x:v>
      </x:c>
      <x:c r="Q35" s="29" t="n">
        <x:f>'Pricing'!$G$6</x:f>
        <x:v>0</x:v>
      </x:c>
      <x:c r="R35" s="30" t="n">
        <x:f>IF($Y35="No public API price","",$P35/'Pricing'!$M$2*$Q35)</x:f>
        <x:v>0</x:v>
      </x:c>
      <x:c r="S35" s="28" t="n">
        <x:v>15095</x:v>
      </x:c>
      <x:c r="T35" s="29" t="n">
        <x:f>'Pricing'!$H$6</x:f>
        <x:v>15</x:v>
      </x:c>
      <x:c r="U35" s="30" t="n">
        <x:f>IF($Y35="No public API price","",$S35/'Pricing'!$M$2*$T35)</x:f>
        <x:v>0.22642500000000002</x:v>
      </x:c>
      <x:c r="V35" s="28" t="n">
        <x:v>8541</x:v>
      </x:c>
      <x:c r="W35" s="28" t="n">
        <x:v>1468136</x:v>
      </x:c>
      <x:c r="X35" s="30" t="n">
        <x:f>IF($Y35="No public API price","",SUM($I35,$L35,$O35,$R35,$U35))</x:f>
        <x:v>0.8929155000000001</x:v>
      </x:c>
      <x:c r="Y35" s="26" t="str">
        <x:f>'Pricing'!$C$6</x:f>
        <x:v>Published</x:v>
      </x:c>
    </x:row>
    <x:row r="36" ht="20" customHeight="1">
      <x:c r="A36" s="25" t="str">
        <x:v>2026-03-08</x:v>
      </x:c>
      <x:c r="B36" s="26" t="str">
        <x:v>March</x:v>
      </x:c>
      <x:c r="C36" s="27" t="n">
        <x:v>2026</x:v>
      </x:c>
      <x:c r="D36" s="26" t="str">
        <x:v>OpenAI</x:v>
      </x:c>
      <x:c r="E36" s="26" t="str">
        <x:v>gpt-5.4</x:v>
      </x:c>
      <x:c r="F36" s="28" t="n">
        <x:v>197593082</x:v>
      </x:c>
      <x:c r="G36" s="28" t="n">
        <x:v>12109946</x:v>
      </x:c>
      <x:c r="H36" s="29" t="n">
        <x:f>'Pricing'!$D$6</x:f>
        <x:v>2.5</x:v>
      </x:c>
      <x:c r="I36" s="30" t="n">
        <x:f>IF($Y36="No public API price","",$G36/'Pricing'!$M$2*$H36)</x:f>
        <x:v>30.274865000000002</x:v>
      </x:c>
      <x:c r="J36" s="28" t="n">
        <x:v>185483136</x:v>
      </x:c>
      <x:c r="K36" s="29" t="n">
        <x:f>'Pricing'!$E$6</x:f>
        <x:v>0.25</x:v>
      </x:c>
      <x:c r="L36" s="30" t="n">
        <x:f>IF($Y36="No public API price","",$J36/'Pricing'!$M$2*$K36)</x:f>
        <x:v>46.370784</x:v>
      </x:c>
      <x:c r="M36" s="28" t="n">
        <x:v>0</x:v>
      </x:c>
      <x:c r="N36" s="29" t="n">
        <x:f>'Pricing'!$F$6</x:f>
        <x:v>0</x:v>
      </x:c>
      <x:c r="O36" s="30" t="n">
        <x:f>IF($Y36="No public API price","",$M36/'Pricing'!$M$2*$N36)</x:f>
        <x:v>0</x:v>
      </x:c>
      <x:c r="P36" s="28" t="n">
        <x:v>0</x:v>
      </x:c>
      <x:c r="Q36" s="29" t="n">
        <x:f>'Pricing'!$G$6</x:f>
        <x:v>0</x:v>
      </x:c>
      <x:c r="R36" s="30" t="n">
        <x:f>IF($Y36="No public API price","",$P36/'Pricing'!$M$2*$Q36)</x:f>
        <x:v>0</x:v>
      </x:c>
      <x:c r="S36" s="28" t="n">
        <x:v>659322</x:v>
      </x:c>
      <x:c r="T36" s="29" t="n">
        <x:f>'Pricing'!$H$6</x:f>
        <x:v>15</x:v>
      </x:c>
      <x:c r="U36" s="30" t="n">
        <x:f>IF($Y36="No public API price","",$S36/'Pricing'!$M$2*$T36)</x:f>
        <x:v>9.88983</x:v>
      </x:c>
      <x:c r="V36" s="28" t="n">
        <x:v>216085</x:v>
      </x:c>
      <x:c r="W36" s="28" t="n">
        <x:v>198252404</x:v>
      </x:c>
      <x:c r="X36" s="30" t="n">
        <x:f>IF($Y36="No public API price","",SUM($I36,$L36,$O36,$R36,$U36))</x:f>
        <x:v>86.53547900000001</x:v>
      </x:c>
      <x:c r="Y36" s="26" t="str">
        <x:f>'Pricing'!$C$6</x:f>
        <x:v>Published</x:v>
      </x:c>
    </x:row>
    <x:row r="37" ht="20" customHeight="1">
      <x:c r="A37" s="25" t="str">
        <x:v>2026-03-09</x:v>
      </x:c>
      <x:c r="B37" s="26" t="str">
        <x:v>March</x:v>
      </x:c>
      <x:c r="C37" s="27" t="n">
        <x:v>2026</x:v>
      </x:c>
      <x:c r="D37" s="26" t="str">
        <x:v>OpenAI</x:v>
      </x:c>
      <x:c r="E37" s="26" t="str">
        <x:v>gpt-5.4</x:v>
      </x:c>
      <x:c r="F37" s="28" t="n">
        <x:v>92562188</x:v>
      </x:c>
      <x:c r="G37" s="28" t="n">
        <x:v>7131532</x:v>
      </x:c>
      <x:c r="H37" s="29" t="n">
        <x:f>'Pricing'!$D$6</x:f>
        <x:v>2.5</x:v>
      </x:c>
      <x:c r="I37" s="30" t="n">
        <x:f>IF($Y37="No public API price","",$G37/'Pricing'!$M$2*$H37)</x:f>
        <x:v>17.82883</x:v>
      </x:c>
      <x:c r="J37" s="28" t="n">
        <x:v>85430656</x:v>
      </x:c>
      <x:c r="K37" s="29" t="n">
        <x:f>'Pricing'!$E$6</x:f>
        <x:v>0.25</x:v>
      </x:c>
      <x:c r="L37" s="30" t="n">
        <x:f>IF($Y37="No public API price","",$J37/'Pricing'!$M$2*$K37)</x:f>
        <x:v>21.357664</x:v>
      </x:c>
      <x:c r="M37" s="28" t="n">
        <x:v>0</x:v>
      </x:c>
      <x:c r="N37" s="29" t="n">
        <x:f>'Pricing'!$F$6</x:f>
        <x:v>0</x:v>
      </x:c>
      <x:c r="O37" s="30" t="n">
        <x:f>IF($Y37="No public API price","",$M37/'Pricing'!$M$2*$N37)</x:f>
        <x:v>0</x:v>
      </x:c>
      <x:c r="P37" s="28" t="n">
        <x:v>0</x:v>
      </x:c>
      <x:c r="Q37" s="29" t="n">
        <x:f>'Pricing'!$G$6</x:f>
        <x:v>0</x:v>
      </x:c>
      <x:c r="R37" s="30" t="n">
        <x:f>IF($Y37="No public API price","",$P37/'Pricing'!$M$2*$Q37)</x:f>
        <x:v>0</x:v>
      </x:c>
      <x:c r="S37" s="28" t="n">
        <x:v>381028</x:v>
      </x:c>
      <x:c r="T37" s="29" t="n">
        <x:f>'Pricing'!$H$6</x:f>
        <x:v>15</x:v>
      </x:c>
      <x:c r="U37" s="30" t="n">
        <x:f>IF($Y37="No public API price","",$S37/'Pricing'!$M$2*$T37)</x:f>
        <x:v>5.71542</x:v>
      </x:c>
      <x:c r="V37" s="28" t="n">
        <x:v>118853</x:v>
      </x:c>
      <x:c r="W37" s="28" t="n">
        <x:v>92943216</x:v>
      </x:c>
      <x:c r="X37" s="30" t="n">
        <x:f>IF($Y37="No public API price","",SUM($I37,$L37,$O37,$R37,$U37))</x:f>
        <x:v>44.901914</x:v>
      </x:c>
      <x:c r="Y37" s="26" t="str">
        <x:f>'Pricing'!$C$6</x:f>
        <x:v>Published</x:v>
      </x:c>
    </x:row>
    <x:row r="38" ht="20" customHeight="1">
      <x:c r="A38" s="25" t="str">
        <x:v>2026-03-15</x:v>
      </x:c>
      <x:c r="B38" s="26" t="str">
        <x:v>March</x:v>
      </x:c>
      <x:c r="C38" s="27" t="n">
        <x:v>2026</x:v>
      </x:c>
      <x:c r="D38" s="26" t="str">
        <x:v>OpenAI</x:v>
      </x:c>
      <x:c r="E38" s="26" t="str">
        <x:v>gpt-5.4</x:v>
      </x:c>
      <x:c r="F38" s="28" t="n">
        <x:v>6073409</x:v>
      </x:c>
      <x:c r="G38" s="28" t="n">
        <x:v>1025217</x:v>
      </x:c>
      <x:c r="H38" s="29" t="n">
        <x:f>'Pricing'!$D$6</x:f>
        <x:v>2.5</x:v>
      </x:c>
      <x:c r="I38" s="30" t="n">
        <x:f>IF($Y38="No public API price","",$G38/'Pricing'!$M$2*$H38)</x:f>
        <x:v>2.5630425</x:v>
      </x:c>
      <x:c r="J38" s="28" t="n">
        <x:v>5048192</x:v>
      </x:c>
      <x:c r="K38" s="29" t="n">
        <x:f>'Pricing'!$E$6</x:f>
        <x:v>0.25</x:v>
      </x:c>
      <x:c r="L38" s="30" t="n">
        <x:f>IF($Y38="No public API price","",$J38/'Pricing'!$M$2*$K38)</x:f>
        <x:v>1.262048</x:v>
      </x:c>
      <x:c r="M38" s="28" t="n">
        <x:v>0</x:v>
      </x:c>
      <x:c r="N38" s="29" t="n">
        <x:f>'Pricing'!$F$6</x:f>
        <x:v>0</x:v>
      </x:c>
      <x:c r="O38" s="30" t="n">
        <x:f>IF($Y38="No public API price","",$M38/'Pricing'!$M$2*$N38)</x:f>
        <x:v>0</x:v>
      </x:c>
      <x:c r="P38" s="28" t="n">
        <x:v>0</x:v>
      </x:c>
      <x:c r="Q38" s="29" t="n">
        <x:f>'Pricing'!$G$6</x:f>
        <x:v>0</x:v>
      </x:c>
      <x:c r="R38" s="30" t="n">
        <x:f>IF($Y38="No public API price","",$P38/'Pricing'!$M$2*$Q38)</x:f>
        <x:v>0</x:v>
      </x:c>
      <x:c r="S38" s="28" t="n">
        <x:v>44475</x:v>
      </x:c>
      <x:c r="T38" s="29" t="n">
        <x:f>'Pricing'!$H$6</x:f>
        <x:v>15</x:v>
      </x:c>
      <x:c r="U38" s="30" t="n">
        <x:f>IF($Y38="No public API price","",$S38/'Pricing'!$M$2*$T38)</x:f>
        <x:v>0.667125</x:v>
      </x:c>
      <x:c r="V38" s="28" t="n">
        <x:v>23524</x:v>
      </x:c>
      <x:c r="W38" s="28" t="n">
        <x:v>6117884</x:v>
      </x:c>
      <x:c r="X38" s="30" t="n">
        <x:f>IF($Y38="No public API price","",SUM($I38,$L38,$O38,$R38,$U38))</x:f>
        <x:v>4.4922155</x:v>
      </x:c>
      <x:c r="Y38" s="26" t="str">
        <x:f>'Pricing'!$C$6</x:f>
        <x:v>Published</x:v>
      </x:c>
    </x:row>
    <x:row r="39" ht="20" customHeight="1">
      <x:c r="A39" s="25" t="str">
        <x:v>2026-04-01</x:v>
      </x:c>
      <x:c r="B39" s="26" t="str">
        <x:v>April</x:v>
      </x:c>
      <x:c r="C39" s="27" t="n">
        <x:v>2026</x:v>
      </x:c>
      <x:c r="D39" s="26" t="str">
        <x:v>OpenAI</x:v>
      </x:c>
      <x:c r="E39" s="26" t="str">
        <x:v>gpt-5.4</x:v>
      </x:c>
      <x:c r="F39" s="28" t="n">
        <x:v>2214866</x:v>
      </x:c>
      <x:c r="G39" s="28" t="n">
        <x:v>246866</x:v>
      </x:c>
      <x:c r="H39" s="29" t="n">
        <x:f>'Pricing'!$D$6</x:f>
        <x:v>2.5</x:v>
      </x:c>
      <x:c r="I39" s="30" t="n">
        <x:f>IF($Y39="No public API price","",$G39/'Pricing'!$M$2*$H39)</x:f>
        <x:v>0.617165</x:v>
      </x:c>
      <x:c r="J39" s="28" t="n">
        <x:v>1968000</x:v>
      </x:c>
      <x:c r="K39" s="29" t="n">
        <x:f>'Pricing'!$E$6</x:f>
        <x:v>0.25</x:v>
      </x:c>
      <x:c r="L39" s="30" t="n">
        <x:f>IF($Y39="No public API price","",$J39/'Pricing'!$M$2*$K39)</x:f>
        <x:v>0.492</x:v>
      </x:c>
      <x:c r="M39" s="28" t="n">
        <x:v>0</x:v>
      </x:c>
      <x:c r="N39" s="29" t="n">
        <x:f>'Pricing'!$F$6</x:f>
        <x:v>0</x:v>
      </x:c>
      <x:c r="O39" s="30" t="n">
        <x:f>IF($Y39="No public API price","",$M39/'Pricing'!$M$2*$N39)</x:f>
        <x:v>0</x:v>
      </x:c>
      <x:c r="P39" s="28" t="n">
        <x:v>0</x:v>
      </x:c>
      <x:c r="Q39" s="29" t="n">
        <x:f>'Pricing'!$G$6</x:f>
        <x:v>0</x:v>
      </x:c>
      <x:c r="R39" s="30" t="n">
        <x:f>IF($Y39="No public API price","",$P39/'Pricing'!$M$2*$Q39)</x:f>
        <x:v>0</x:v>
      </x:c>
      <x:c r="S39" s="28" t="n">
        <x:v>48383</x:v>
      </x:c>
      <x:c r="T39" s="29" t="n">
        <x:f>'Pricing'!$H$6</x:f>
        <x:v>15</x:v>
      </x:c>
      <x:c r="U39" s="30" t="n">
        <x:f>IF($Y39="No public API price","",$S39/'Pricing'!$M$2*$T39)</x:f>
        <x:v>0.7257450000000001</x:v>
      </x:c>
      <x:c r="V39" s="28" t="n">
        <x:v>34964</x:v>
      </x:c>
      <x:c r="W39" s="28" t="n">
        <x:v>2263249</x:v>
      </x:c>
      <x:c r="X39" s="30" t="n">
        <x:f>IF($Y39="No public API price","",SUM($I39,$L39,$O39,$R39,$U39))</x:f>
        <x:v>1.83491</x:v>
      </x:c>
      <x:c r="Y39" s="26" t="str">
        <x:f>'Pricing'!$C$6</x:f>
        <x:v>Published</x:v>
      </x:c>
    </x:row>
    <x:row r="40" ht="20" customHeight="1">
      <x:c r="A40" s="25" t="str">
        <x:v>2026-04-09</x:v>
      </x:c>
      <x:c r="B40" s="26" t="str">
        <x:v>April</x:v>
      </x:c>
      <x:c r="C40" s="27" t="n">
        <x:v>2026</x:v>
      </x:c>
      <x:c r="D40" s="26" t="str">
        <x:v>OpenAI</x:v>
      </x:c>
      <x:c r="E40" s="26" t="str">
        <x:v>gpt-5.4</x:v>
      </x:c>
      <x:c r="F40" s="28" t="n">
        <x:v>1006421</x:v>
      </x:c>
      <x:c r="G40" s="28" t="n">
        <x:v>105941</x:v>
      </x:c>
      <x:c r="H40" s="29" t="n">
        <x:f>'Pricing'!$D$6</x:f>
        <x:v>2.5</x:v>
      </x:c>
      <x:c r="I40" s="30" t="n">
        <x:f>IF($Y40="No public API price","",$G40/'Pricing'!$M$2*$H40)</x:f>
        <x:v>0.2648525</x:v>
      </x:c>
      <x:c r="J40" s="28" t="n">
        <x:v>900480</x:v>
      </x:c>
      <x:c r="K40" s="29" t="n">
        <x:f>'Pricing'!$E$6</x:f>
        <x:v>0.25</x:v>
      </x:c>
      <x:c r="L40" s="30" t="n">
        <x:f>IF($Y40="No public API price","",$J40/'Pricing'!$M$2*$K40)</x:f>
        <x:v>0.22512</x:v>
      </x:c>
      <x:c r="M40" s="28" t="n">
        <x:v>0</x:v>
      </x:c>
      <x:c r="N40" s="29" t="n">
        <x:f>'Pricing'!$F$6</x:f>
        <x:v>0</x:v>
      </x:c>
      <x:c r="O40" s="30" t="n">
        <x:f>IF($Y40="No public API price","",$M40/'Pricing'!$M$2*$N40)</x:f>
        <x:v>0</x:v>
      </x:c>
      <x:c r="P40" s="28" t="n">
        <x:v>0</x:v>
      </x:c>
      <x:c r="Q40" s="29" t="n">
        <x:f>'Pricing'!$G$6</x:f>
        <x:v>0</x:v>
      </x:c>
      <x:c r="R40" s="30" t="n">
        <x:f>IF($Y40="No public API price","",$P40/'Pricing'!$M$2*$Q40)</x:f>
        <x:v>0</x:v>
      </x:c>
      <x:c r="S40" s="28" t="n">
        <x:v>11398</x:v>
      </x:c>
      <x:c r="T40" s="29" t="n">
        <x:f>'Pricing'!$H$6</x:f>
        <x:v>15</x:v>
      </x:c>
      <x:c r="U40" s="30" t="n">
        <x:f>IF($Y40="No public API price","",$S40/'Pricing'!$M$2*$T40)</x:f>
        <x:v>0.17097</x:v>
      </x:c>
      <x:c r="V40" s="28" t="n">
        <x:v>3060</x:v>
      </x:c>
      <x:c r="W40" s="28" t="n">
        <x:v>1017819</x:v>
      </x:c>
      <x:c r="X40" s="30" t="n">
        <x:f>IF($Y40="No public API price","",SUM($I40,$L40,$O40,$R40,$U40))</x:f>
        <x:v>0.6609425</x:v>
      </x:c>
      <x:c r="Y40" s="26" t="str">
        <x:f>'Pricing'!$C$6</x:f>
        <x:v>Published</x:v>
      </x:c>
    </x:row>
    <x:row r="41" ht="20" customHeight="1">
      <x:c r="A41" s="25" t="str">
        <x:v>2026-04-15</x:v>
      </x:c>
      <x:c r="B41" s="26" t="str">
        <x:v>April</x:v>
      </x:c>
      <x:c r="C41" s="27" t="n">
        <x:v>2026</x:v>
      </x:c>
      <x:c r="D41" s="26" t="str">
        <x:v>OpenAI</x:v>
      </x:c>
      <x:c r="E41" s="26" t="str">
        <x:v>gpt-5.4</x:v>
      </x:c>
      <x:c r="F41" s="28" t="n">
        <x:v>12165947</x:v>
      </x:c>
      <x:c r="G41" s="28" t="n">
        <x:v>944955</x:v>
      </x:c>
      <x:c r="H41" s="29" t="n">
        <x:f>'Pricing'!$D$6</x:f>
        <x:v>2.5</x:v>
      </x:c>
      <x:c r="I41" s="30" t="n">
        <x:f>IF($Y41="No public API price","",$G41/'Pricing'!$M$2*$H41)</x:f>
        <x:v>2.3623875</x:v>
      </x:c>
      <x:c r="J41" s="28" t="n">
        <x:v>11220992</x:v>
      </x:c>
      <x:c r="K41" s="29" t="n">
        <x:f>'Pricing'!$E$6</x:f>
        <x:v>0.25</x:v>
      </x:c>
      <x:c r="L41" s="30" t="n">
        <x:f>IF($Y41="No public API price","",$J41/'Pricing'!$M$2*$K41)</x:f>
        <x:v>2.805248</x:v>
      </x:c>
      <x:c r="M41" s="28" t="n">
        <x:v>0</x:v>
      </x:c>
      <x:c r="N41" s="29" t="n">
        <x:f>'Pricing'!$F$6</x:f>
        <x:v>0</x:v>
      </x:c>
      <x:c r="O41" s="30" t="n">
        <x:f>IF($Y41="No public API price","",$M41/'Pricing'!$M$2*$N41)</x:f>
        <x:v>0</x:v>
      </x:c>
      <x:c r="P41" s="28" t="n">
        <x:v>0</x:v>
      </x:c>
      <x:c r="Q41" s="29" t="n">
        <x:f>'Pricing'!$G$6</x:f>
        <x:v>0</x:v>
      </x:c>
      <x:c r="R41" s="30" t="n">
        <x:f>IF($Y41="No public API price","",$P41/'Pricing'!$M$2*$Q41)</x:f>
        <x:v>0</x:v>
      </x:c>
      <x:c r="S41" s="28" t="n">
        <x:v>58166</x:v>
      </x:c>
      <x:c r="T41" s="29" t="n">
        <x:f>'Pricing'!$H$6</x:f>
        <x:v>15</x:v>
      </x:c>
      <x:c r="U41" s="30" t="n">
        <x:f>IF($Y41="No public API price","",$S41/'Pricing'!$M$2*$T41)</x:f>
        <x:v>0.87249</x:v>
      </x:c>
      <x:c r="V41" s="28" t="n">
        <x:v>19460</x:v>
      </x:c>
      <x:c r="W41" s="28" t="n">
        <x:v>12224113</x:v>
      </x:c>
      <x:c r="X41" s="30" t="n">
        <x:f>IF($Y41="No public API price","",SUM($I41,$L41,$O41,$R41,$U41))</x:f>
        <x:v>6.0401255</x:v>
      </x:c>
      <x:c r="Y41" s="26" t="str">
        <x:f>'Pricing'!$C$6</x:f>
        <x:v>Published</x:v>
      </x:c>
    </x:row>
    <x:row r="42" ht="20" customHeight="1">
      <x:c r="A42" s="25" t="str">
        <x:v>2026-04-16</x:v>
      </x:c>
      <x:c r="B42" s="26" t="str">
        <x:v>April</x:v>
      </x:c>
      <x:c r="C42" s="27" t="n">
        <x:v>2026</x:v>
      </x:c>
      <x:c r="D42" s="26" t="str">
        <x:v>OpenAI</x:v>
      </x:c>
      <x:c r="E42" s="26" t="str">
        <x:v>gpt-5.4</x:v>
      </x:c>
      <x:c r="F42" s="28" t="n">
        <x:v>213062</x:v>
      </x:c>
      <x:c r="G42" s="28" t="n">
        <x:v>45382</x:v>
      </x:c>
      <x:c r="H42" s="29" t="n">
        <x:f>'Pricing'!$D$6</x:f>
        <x:v>2.5</x:v>
      </x:c>
      <x:c r="I42" s="30" t="n">
        <x:f>IF($Y42="No public API price","",$G42/'Pricing'!$M$2*$H42)</x:f>
        <x:v>0.113455</x:v>
      </x:c>
      <x:c r="J42" s="28" t="n">
        <x:v>167680</x:v>
      </x:c>
      <x:c r="K42" s="29" t="n">
        <x:f>'Pricing'!$E$6</x:f>
        <x:v>0.25</x:v>
      </x:c>
      <x:c r="L42" s="30" t="n">
        <x:f>IF($Y42="No public API price","",$J42/'Pricing'!$M$2*$K42)</x:f>
        <x:v>0.04192</x:v>
      </x:c>
      <x:c r="M42" s="28" t="n">
        <x:v>0</x:v>
      </x:c>
      <x:c r="N42" s="29" t="n">
        <x:f>'Pricing'!$F$6</x:f>
        <x:v>0</x:v>
      </x:c>
      <x:c r="O42" s="30" t="n">
        <x:f>IF($Y42="No public API price","",$M42/'Pricing'!$M$2*$N42)</x:f>
        <x:v>0</x:v>
      </x:c>
      <x:c r="P42" s="28" t="n">
        <x:v>0</x:v>
      </x:c>
      <x:c r="Q42" s="29" t="n">
        <x:f>'Pricing'!$G$6</x:f>
        <x:v>0</x:v>
      </x:c>
      <x:c r="R42" s="30" t="n">
        <x:f>IF($Y42="No public API price","",$P42/'Pricing'!$M$2*$Q42)</x:f>
        <x:v>0</x:v>
      </x:c>
      <x:c r="S42" s="28" t="n">
        <x:v>4151</x:v>
      </x:c>
      <x:c r="T42" s="29" t="n">
        <x:f>'Pricing'!$H$6</x:f>
        <x:v>15</x:v>
      </x:c>
      <x:c r="U42" s="30" t="n">
        <x:f>IF($Y42="No public API price","",$S42/'Pricing'!$M$2*$T42)</x:f>
        <x:v>0.062265</x:v>
      </x:c>
      <x:c r="V42" s="28" t="n">
        <x:v>1588</x:v>
      </x:c>
      <x:c r="W42" s="28" t="n">
        <x:v>217213</x:v>
      </x:c>
      <x:c r="X42" s="30" t="n">
        <x:f>IF($Y42="No public API price","",SUM($I42,$L42,$O42,$R42,$U42))</x:f>
        <x:v>0.21764</x:v>
      </x:c>
      <x:c r="Y42" s="26" t="str">
        <x:f>'Pricing'!$C$6</x:f>
        <x:v>Published</x:v>
      </x:c>
    </x:row>
    <x:row r="43" ht="20" customHeight="1">
      <x:c r="A43" s="25" t="str">
        <x:v>2026-04-18</x:v>
      </x:c>
      <x:c r="B43" s="26" t="str">
        <x:v>April</x:v>
      </x:c>
      <x:c r="C43" s="27" t="n">
        <x:v>2026</x:v>
      </x:c>
      <x:c r="D43" s="26" t="str">
        <x:v>OpenAI</x:v>
      </x:c>
      <x:c r="E43" s="26" t="str">
        <x:v>gpt-5.4</x:v>
      </x:c>
      <x:c r="F43" s="28" t="n">
        <x:v>18816085</x:v>
      </x:c>
      <x:c r="G43" s="28" t="n">
        <x:v>1378773</x:v>
      </x:c>
      <x:c r="H43" s="29" t="n">
        <x:f>'Pricing'!$D$6</x:f>
        <x:v>2.5</x:v>
      </x:c>
      <x:c r="I43" s="30" t="n">
        <x:f>IF($Y43="No public API price","",$G43/'Pricing'!$M$2*$H43)</x:f>
        <x:v>3.4469325</x:v>
      </x:c>
      <x:c r="J43" s="28" t="n">
        <x:v>17437312</x:v>
      </x:c>
      <x:c r="K43" s="29" t="n">
        <x:f>'Pricing'!$E$6</x:f>
        <x:v>0.25</x:v>
      </x:c>
      <x:c r="L43" s="30" t="n">
        <x:f>IF($Y43="No public API price","",$J43/'Pricing'!$M$2*$K43)</x:f>
        <x:v>4.359328</x:v>
      </x:c>
      <x:c r="M43" s="28" t="n">
        <x:v>0</x:v>
      </x:c>
      <x:c r="N43" s="29" t="n">
        <x:f>'Pricing'!$F$6</x:f>
        <x:v>0</x:v>
      </x:c>
      <x:c r="O43" s="30" t="n">
        <x:f>IF($Y43="No public API price","",$M43/'Pricing'!$M$2*$N43)</x:f>
        <x:v>0</x:v>
      </x:c>
      <x:c r="P43" s="28" t="n">
        <x:v>0</x:v>
      </x:c>
      <x:c r="Q43" s="29" t="n">
        <x:f>'Pricing'!$G$6</x:f>
        <x:v>0</x:v>
      </x:c>
      <x:c r="R43" s="30" t="n">
        <x:f>IF($Y43="No public API price","",$P43/'Pricing'!$M$2*$Q43)</x:f>
        <x:v>0</x:v>
      </x:c>
      <x:c r="S43" s="28" t="n">
        <x:v>112412</x:v>
      </x:c>
      <x:c r="T43" s="29" t="n">
        <x:f>'Pricing'!$H$6</x:f>
        <x:v>15</x:v>
      </x:c>
      <x:c r="U43" s="30" t="n">
        <x:f>IF($Y43="No public API price","",$S43/'Pricing'!$M$2*$T43)</x:f>
        <x:v>1.68618</x:v>
      </x:c>
      <x:c r="V43" s="28" t="n">
        <x:v>36160</x:v>
      </x:c>
      <x:c r="W43" s="28" t="n">
        <x:v>18928497</x:v>
      </x:c>
      <x:c r="X43" s="30" t="n">
        <x:f>IF($Y43="No public API price","",SUM($I43,$L43,$O43,$R43,$U43))</x:f>
        <x:v>9.492440499999999</x:v>
      </x:c>
      <x:c r="Y43" s="26" t="str">
        <x:f>'Pricing'!$C$6</x:f>
        <x:v>Published</x:v>
      </x:c>
    </x:row>
    <x:row r="44" ht="20" customHeight="1">
      <x:c r="A44" s="25" t="str">
        <x:v>2026-04-21</x:v>
      </x:c>
      <x:c r="B44" s="26" t="str">
        <x:v>April</x:v>
      </x:c>
      <x:c r="C44" s="27" t="n">
        <x:v>2026</x:v>
      </x:c>
      <x:c r="D44" s="26" t="str">
        <x:v>OpenAI</x:v>
      </x:c>
      <x:c r="E44" s="26" t="str">
        <x:v>gpt-5.4</x:v>
      </x:c>
      <x:c r="F44" s="28" t="n">
        <x:v>2296468</x:v>
      </x:c>
      <x:c r="G44" s="28" t="n">
        <x:v>160276</x:v>
      </x:c>
      <x:c r="H44" s="29" t="n">
        <x:f>'Pricing'!$D$6</x:f>
        <x:v>2.5</x:v>
      </x:c>
      <x:c r="I44" s="30" t="n">
        <x:f>IF($Y44="No public API price","",$G44/'Pricing'!$M$2*$H44)</x:f>
        <x:v>0.40069</x:v>
      </x:c>
      <x:c r="J44" s="28" t="n">
        <x:v>2136192</x:v>
      </x:c>
      <x:c r="K44" s="29" t="n">
        <x:f>'Pricing'!$E$6</x:f>
        <x:v>0.25</x:v>
      </x:c>
      <x:c r="L44" s="30" t="n">
        <x:f>IF($Y44="No public API price","",$J44/'Pricing'!$M$2*$K44)</x:f>
        <x:v>0.534048</x:v>
      </x:c>
      <x:c r="M44" s="28" t="n">
        <x:v>0</x:v>
      </x:c>
      <x:c r="N44" s="29" t="n">
        <x:f>'Pricing'!$F$6</x:f>
        <x:v>0</x:v>
      </x:c>
      <x:c r="O44" s="30" t="n">
        <x:f>IF($Y44="No public API price","",$M44/'Pricing'!$M$2*$N44)</x:f>
        <x:v>0</x:v>
      </x:c>
      <x:c r="P44" s="28" t="n">
        <x:v>0</x:v>
      </x:c>
      <x:c r="Q44" s="29" t="n">
        <x:f>'Pricing'!$G$6</x:f>
        <x:v>0</x:v>
      </x:c>
      <x:c r="R44" s="30" t="n">
        <x:f>IF($Y44="No public API price","",$P44/'Pricing'!$M$2*$Q44)</x:f>
        <x:v>0</x:v>
      </x:c>
      <x:c r="S44" s="28" t="n">
        <x:v>12294</x:v>
      </x:c>
      <x:c r="T44" s="29" t="n">
        <x:f>'Pricing'!$H$6</x:f>
        <x:v>15</x:v>
      </x:c>
      <x:c r="U44" s="30" t="n">
        <x:f>IF($Y44="No public API price","",$S44/'Pricing'!$M$2*$T44)</x:f>
        <x:v>0.18441</x:v>
      </x:c>
      <x:c r="V44" s="28" t="n">
        <x:v>6123</x:v>
      </x:c>
      <x:c r="W44" s="28" t="n">
        <x:v>2308762</x:v>
      </x:c>
      <x:c r="X44" s="30" t="n">
        <x:f>IF($Y44="No public API price","",SUM($I44,$L44,$O44,$R44,$U44))</x:f>
        <x:v>1.119148</x:v>
      </x:c>
      <x:c r="Y44" s="26" t="str">
        <x:f>'Pricing'!$C$6</x:f>
        <x:v>Published</x:v>
      </x:c>
    </x:row>
    <x:row r="45" ht="20" customHeight="1">
      <x:c r="A45" s="25" t="str">
        <x:v>2026-04-22</x:v>
      </x:c>
      <x:c r="B45" s="26" t="str">
        <x:v>April</x:v>
      </x:c>
      <x:c r="C45" s="27" t="n">
        <x:v>2026</x:v>
      </x:c>
      <x:c r="D45" s="26" t="str">
        <x:v>OpenAI</x:v>
      </x:c>
      <x:c r="E45" s="26" t="str">
        <x:v>gpt-5.4</x:v>
      </x:c>
      <x:c r="F45" s="28" t="n">
        <x:v>14497733</x:v>
      </x:c>
      <x:c r="G45" s="28" t="n">
        <x:v>1797061</x:v>
      </x:c>
      <x:c r="H45" s="29" t="n">
        <x:f>'Pricing'!$D$6</x:f>
        <x:v>2.5</x:v>
      </x:c>
      <x:c r="I45" s="30" t="n">
        <x:f>IF($Y45="No public API price","",$G45/'Pricing'!$M$2*$H45)</x:f>
        <x:v>4.4926525</x:v>
      </x:c>
      <x:c r="J45" s="28" t="n">
        <x:v>12700672</x:v>
      </x:c>
      <x:c r="K45" s="29" t="n">
        <x:f>'Pricing'!$E$6</x:f>
        <x:v>0.25</x:v>
      </x:c>
      <x:c r="L45" s="30" t="n">
        <x:f>IF($Y45="No public API price","",$J45/'Pricing'!$M$2*$K45)</x:f>
        <x:v>3.175168</x:v>
      </x:c>
      <x:c r="M45" s="28" t="n">
        <x:v>0</x:v>
      </x:c>
      <x:c r="N45" s="29" t="n">
        <x:f>'Pricing'!$F$6</x:f>
        <x:v>0</x:v>
      </x:c>
      <x:c r="O45" s="30" t="n">
        <x:f>IF($Y45="No public API price","",$M45/'Pricing'!$M$2*$N45)</x:f>
        <x:v>0</x:v>
      </x:c>
      <x:c r="P45" s="28" t="n">
        <x:v>0</x:v>
      </x:c>
      <x:c r="Q45" s="29" t="n">
        <x:f>'Pricing'!$G$6</x:f>
        <x:v>0</x:v>
      </x:c>
      <x:c r="R45" s="30" t="n">
        <x:f>IF($Y45="No public API price","",$P45/'Pricing'!$M$2*$Q45)</x:f>
        <x:v>0</x:v>
      </x:c>
      <x:c r="S45" s="28" t="n">
        <x:v>131053</x:v>
      </x:c>
      <x:c r="T45" s="29" t="n">
        <x:f>'Pricing'!$H$6</x:f>
        <x:v>15</x:v>
      </x:c>
      <x:c r="U45" s="30" t="n">
        <x:f>IF($Y45="No public API price","",$S45/'Pricing'!$M$2*$T45)</x:f>
        <x:v>1.965795</x:v>
      </x:c>
      <x:c r="V45" s="28" t="n">
        <x:v>58981</x:v>
      </x:c>
      <x:c r="W45" s="28" t="n">
        <x:v>14628786</x:v>
      </x:c>
      <x:c r="X45" s="30" t="n">
        <x:f>IF($Y45="No public API price","",SUM($I45,$L45,$O45,$R45,$U45))</x:f>
        <x:v>9.633615500000001</x:v>
      </x:c>
      <x:c r="Y45" s="26" t="str">
        <x:f>'Pricing'!$C$6</x:f>
        <x:v>Published</x:v>
      </x:c>
    </x:row>
    <x:row r="46" ht="20" customHeight="1">
      <x:c r="A46" s="25" t="str">
        <x:v>2026-04-23</x:v>
      </x:c>
      <x:c r="B46" s="26" t="str">
        <x:v>April</x:v>
      </x:c>
      <x:c r="C46" s="27" t="n">
        <x:v>2026</x:v>
      </x:c>
      <x:c r="D46" s="26" t="str">
        <x:v>OpenAI</x:v>
      </x:c>
      <x:c r="E46" s="26" t="str">
        <x:v>gpt-5.4</x:v>
      </x:c>
      <x:c r="F46" s="28" t="n">
        <x:v>99826307</x:v>
      </x:c>
      <x:c r="G46" s="28" t="n">
        <x:v>7402755</x:v>
      </x:c>
      <x:c r="H46" s="29" t="n">
        <x:f>'Pricing'!$D$6</x:f>
        <x:v>2.5</x:v>
      </x:c>
      <x:c r="I46" s="30" t="n">
        <x:f>IF($Y46="No public API price","",$G46/'Pricing'!$M$2*$H46)</x:f>
        <x:v>18.5068875</x:v>
      </x:c>
      <x:c r="J46" s="28" t="n">
        <x:v>92423552</x:v>
      </x:c>
      <x:c r="K46" s="29" t="n">
        <x:f>'Pricing'!$E$6</x:f>
        <x:v>0.25</x:v>
      </x:c>
      <x:c r="L46" s="30" t="n">
        <x:f>IF($Y46="No public API price","",$J46/'Pricing'!$M$2*$K46)</x:f>
        <x:v>23.105888</x:v>
      </x:c>
      <x:c r="M46" s="28" t="n">
        <x:v>0</x:v>
      </x:c>
      <x:c r="N46" s="29" t="n">
        <x:f>'Pricing'!$F$6</x:f>
        <x:v>0</x:v>
      </x:c>
      <x:c r="O46" s="30" t="n">
        <x:f>IF($Y46="No public API price","",$M46/'Pricing'!$M$2*$N46)</x:f>
        <x:v>0</x:v>
      </x:c>
      <x:c r="P46" s="28" t="n">
        <x:v>0</x:v>
      </x:c>
      <x:c r="Q46" s="29" t="n">
        <x:f>'Pricing'!$G$6</x:f>
        <x:v>0</x:v>
      </x:c>
      <x:c r="R46" s="30" t="n">
        <x:f>IF($Y46="No public API price","",$P46/'Pricing'!$M$2*$Q46)</x:f>
        <x:v>0</x:v>
      </x:c>
      <x:c r="S46" s="28" t="n">
        <x:v>442065</x:v>
      </x:c>
      <x:c r="T46" s="29" t="n">
        <x:f>'Pricing'!$H$6</x:f>
        <x:v>15</x:v>
      </x:c>
      <x:c r="U46" s="30" t="n">
        <x:f>IF($Y46="No public API price","",$S46/'Pricing'!$M$2*$T46)</x:f>
        <x:v>6.630974999999999</x:v>
      </x:c>
      <x:c r="V46" s="28" t="n">
        <x:v>133998</x:v>
      </x:c>
      <x:c r="W46" s="28" t="n">
        <x:v>100268372</x:v>
      </x:c>
      <x:c r="X46" s="30" t="n">
        <x:f>IF($Y46="No public API price","",SUM($I46,$L46,$O46,$R46,$U46))</x:f>
        <x:v>48.2437505</x:v>
      </x:c>
      <x:c r="Y46" s="26" t="str">
        <x:f>'Pricing'!$C$6</x:f>
        <x:v>Published</x:v>
      </x:c>
    </x:row>
    <x:row r="47" ht="20" customHeight="1">
      <x:c r="A47" s="25" t="str">
        <x:v>2026-04-23</x:v>
      </x:c>
      <x:c r="B47" s="26" t="str">
        <x:v>April</x:v>
      </x:c>
      <x:c r="C47" s="27" t="n">
        <x:v>2026</x:v>
      </x:c>
      <x:c r="D47" s="26" t="str">
        <x:v>OpenAI</x:v>
      </x:c>
      <x:c r="E47" s="26" t="str">
        <x:v>gpt-5.5</x:v>
      </x:c>
      <x:c r="F47" s="28" t="n">
        <x:v>9004964</x:v>
      </x:c>
      <x:c r="G47" s="28" t="n">
        <x:v>1370916</x:v>
      </x:c>
      <x:c r="H47" s="29" t="n">
        <x:f>'Pricing'!$D$7</x:f>
        <x:v>5</x:v>
      </x:c>
      <x:c r="I47" s="30" t="n">
        <x:f>IF($Y47="No public API price","",$G47/'Pricing'!$M$2*$H47)</x:f>
        <x:v>6.85458</x:v>
      </x:c>
      <x:c r="J47" s="28" t="n">
        <x:v>7634048</x:v>
      </x:c>
      <x:c r="K47" s="29" t="n">
        <x:f>'Pricing'!$E$7</x:f>
        <x:v>0.5</x:v>
      </x:c>
      <x:c r="L47" s="30" t="n">
        <x:f>IF($Y47="No public API price","",$J47/'Pricing'!$M$2*$K47)</x:f>
        <x:v>3.817024</x:v>
      </x:c>
      <x:c r="M47" s="28" t="n">
        <x:v>0</x:v>
      </x:c>
      <x:c r="N47" s="29" t="n">
        <x:f>'Pricing'!$F$7</x:f>
        <x:v>0</x:v>
      </x:c>
      <x:c r="O47" s="30" t="n">
        <x:f>IF($Y47="No public API price","",$M47/'Pricing'!$M$2*$N47)</x:f>
        <x:v>0</x:v>
      </x:c>
      <x:c r="P47" s="28" t="n">
        <x:v>0</x:v>
      </x:c>
      <x:c r="Q47" s="29" t="n">
        <x:f>'Pricing'!$G$7</x:f>
        <x:v>0</x:v>
      </x:c>
      <x:c r="R47" s="30" t="n">
        <x:f>IF($Y47="No public API price","",$P47/'Pricing'!$M$2*$Q47)</x:f>
        <x:v>0</x:v>
      </x:c>
      <x:c r="S47" s="28" t="n">
        <x:v>99400</x:v>
      </x:c>
      <x:c r="T47" s="29" t="n">
        <x:f>'Pricing'!$H$7</x:f>
        <x:v>30</x:v>
      </x:c>
      <x:c r="U47" s="30" t="n">
        <x:f>IF($Y47="No public API price","",$S47/'Pricing'!$M$2*$T47)</x:f>
        <x:v>2.982</x:v>
      </x:c>
      <x:c r="V47" s="28" t="n">
        <x:v>34508</x:v>
      </x:c>
      <x:c r="W47" s="28" t="n">
        <x:v>9104364</x:v>
      </x:c>
      <x:c r="X47" s="30" t="n">
        <x:f>IF($Y47="No public API price","",SUM($I47,$L47,$O47,$R47,$U47))</x:f>
        <x:v>13.653604000000001</x:v>
      </x:c>
      <x:c r="Y47" s="26" t="str">
        <x:f>'Pricing'!$C$7</x:f>
        <x:v>Published</x:v>
      </x:c>
    </x:row>
    <x:row r="48" ht="20" customHeight="1">
      <x:c r="A48" s="25" t="str">
        <x:v>2026-04-24</x:v>
      </x:c>
      <x:c r="B48" s="26" t="str">
        <x:v>April</x:v>
      </x:c>
      <x:c r="C48" s="27" t="n">
        <x:v>2026</x:v>
      </x:c>
      <x:c r="D48" s="26" t="str">
        <x:v>OpenAI</x:v>
      </x:c>
      <x:c r="E48" s="26" t="str">
        <x:v>gpt-5.5</x:v>
      </x:c>
      <x:c r="F48" s="28" t="n">
        <x:v>8409460</x:v>
      </x:c>
      <x:c r="G48" s="28" t="n">
        <x:v>1594612</x:v>
      </x:c>
      <x:c r="H48" s="29" t="n">
        <x:f>'Pricing'!$D$7</x:f>
        <x:v>5</x:v>
      </x:c>
      <x:c r="I48" s="30" t="n">
        <x:f>IF($Y48="No public API price","",$G48/'Pricing'!$M$2*$H48)</x:f>
        <x:v>7.973059999999999</x:v>
      </x:c>
      <x:c r="J48" s="28" t="n">
        <x:v>6814848</x:v>
      </x:c>
      <x:c r="K48" s="29" t="n">
        <x:f>'Pricing'!$E$7</x:f>
        <x:v>0.5</x:v>
      </x:c>
      <x:c r="L48" s="30" t="n">
        <x:f>IF($Y48="No public API price","",$J48/'Pricing'!$M$2*$K48)</x:f>
        <x:v>3.407424</x:v>
      </x:c>
      <x:c r="M48" s="28" t="n">
        <x:v>0</x:v>
      </x:c>
      <x:c r="N48" s="29" t="n">
        <x:f>'Pricing'!$F$7</x:f>
        <x:v>0</x:v>
      </x:c>
      <x:c r="O48" s="30" t="n">
        <x:f>IF($Y48="No public API price","",$M48/'Pricing'!$M$2*$N48)</x:f>
        <x:v>0</x:v>
      </x:c>
      <x:c r="P48" s="28" t="n">
        <x:v>0</x:v>
      </x:c>
      <x:c r="Q48" s="29" t="n">
        <x:f>'Pricing'!$G$7</x:f>
        <x:v>0</x:v>
      </x:c>
      <x:c r="R48" s="30" t="n">
        <x:f>IF($Y48="No public API price","",$P48/'Pricing'!$M$2*$Q48)</x:f>
        <x:v>0</x:v>
      </x:c>
      <x:c r="S48" s="28" t="n">
        <x:v>76543</x:v>
      </x:c>
      <x:c r="T48" s="29" t="n">
        <x:f>'Pricing'!$H$7</x:f>
        <x:v>30</x:v>
      </x:c>
      <x:c r="U48" s="30" t="n">
        <x:f>IF($Y48="No public API price","",$S48/'Pricing'!$M$2*$T48)</x:f>
        <x:v>2.29629</x:v>
      </x:c>
      <x:c r="V48" s="28" t="n">
        <x:v>13960</x:v>
      </x:c>
      <x:c r="W48" s="28" t="n">
        <x:v>8486003</x:v>
      </x:c>
      <x:c r="X48" s="30" t="n">
        <x:f>IF($Y48="No public API price","",SUM($I48,$L48,$O48,$R48,$U48))</x:f>
        <x:v>13.676773999999998</x:v>
      </x:c>
      <x:c r="Y48" s="26" t="str">
        <x:f>'Pricing'!$C$7</x:f>
        <x:v>Published</x:v>
      </x:c>
    </x:row>
    <x:row r="49" ht="20" customHeight="1">
      <x:c r="A49" s="25" t="str">
        <x:v>2026-04-25</x:v>
      </x:c>
      <x:c r="B49" s="26" t="str">
        <x:v>April</x:v>
      </x:c>
      <x:c r="C49" s="27" t="n">
        <x:v>2026</x:v>
      </x:c>
      <x:c r="D49" s="26" t="str">
        <x:v>OpenAI</x:v>
      </x:c>
      <x:c r="E49" s="26" t="str">
        <x:v>gpt-5.5</x:v>
      </x:c>
      <x:c r="F49" s="28" t="n">
        <x:v>606496</x:v>
      </x:c>
      <x:c r="G49" s="28" t="n">
        <x:v>187424</x:v>
      </x:c>
      <x:c r="H49" s="29" t="n">
        <x:f>'Pricing'!$D$7</x:f>
        <x:v>5</x:v>
      </x:c>
      <x:c r="I49" s="30" t="n">
        <x:f>IF($Y49="No public API price","",$G49/'Pricing'!$M$2*$H49)</x:f>
        <x:v>0.9371200000000001</x:v>
      </x:c>
      <x:c r="J49" s="28" t="n">
        <x:v>419072</x:v>
      </x:c>
      <x:c r="K49" s="29" t="n">
        <x:f>'Pricing'!$E$7</x:f>
        <x:v>0.5</x:v>
      </x:c>
      <x:c r="L49" s="30" t="n">
        <x:f>IF($Y49="No public API price","",$J49/'Pricing'!$M$2*$K49)</x:f>
        <x:v>0.209536</x:v>
      </x:c>
      <x:c r="M49" s="28" t="n">
        <x:v>0</x:v>
      </x:c>
      <x:c r="N49" s="29" t="n">
        <x:f>'Pricing'!$F$7</x:f>
        <x:v>0</x:v>
      </x:c>
      <x:c r="O49" s="30" t="n">
        <x:f>IF($Y49="No public API price","",$M49/'Pricing'!$M$2*$N49)</x:f>
        <x:v>0</x:v>
      </x:c>
      <x:c r="P49" s="28" t="n">
        <x:v>0</x:v>
      </x:c>
      <x:c r="Q49" s="29" t="n">
        <x:f>'Pricing'!$G$7</x:f>
        <x:v>0</x:v>
      </x:c>
      <x:c r="R49" s="30" t="n">
        <x:f>IF($Y49="No public API price","",$P49/'Pricing'!$M$2*$Q49)</x:f>
        <x:v>0</x:v>
      </x:c>
      <x:c r="S49" s="28" t="n">
        <x:v>7823</x:v>
      </x:c>
      <x:c r="T49" s="29" t="n">
        <x:f>'Pricing'!$H$7</x:f>
        <x:v>30</x:v>
      </x:c>
      <x:c r="U49" s="30" t="n">
        <x:f>IF($Y49="No public API price","",$S49/'Pricing'!$M$2*$T49)</x:f>
        <x:v>0.23469</x:v>
      </x:c>
      <x:c r="V49" s="28" t="n">
        <x:v>2318</x:v>
      </x:c>
      <x:c r="W49" s="28" t="n">
        <x:v>614319</x:v>
      </x:c>
      <x:c r="X49" s="30" t="n">
        <x:f>IF($Y49="No public API price","",SUM($I49,$L49,$O49,$R49,$U49))</x:f>
        <x:v>1.3813460000000002</x:v>
      </x:c>
      <x:c r="Y49" s="26" t="str">
        <x:f>'Pricing'!$C$7</x:f>
        <x:v>Published</x:v>
      </x:c>
    </x:row>
    <x:row r="50" ht="20" customHeight="1">
      <x:c r="A50" s="25" t="str">
        <x:v>2026-04-26</x:v>
      </x:c>
      <x:c r="B50" s="26" t="str">
        <x:v>April</x:v>
      </x:c>
      <x:c r="C50" s="27" t="n">
        <x:v>2026</x:v>
      </x:c>
      <x:c r="D50" s="26" t="str">
        <x:v>OpenAI</x:v>
      </x:c>
      <x:c r="E50" s="26" t="str">
        <x:v>gpt-5.5</x:v>
      </x:c>
      <x:c r="F50" s="28" t="n">
        <x:v>6447828</x:v>
      </x:c>
      <x:c r="G50" s="28" t="n">
        <x:v>1307732</x:v>
      </x:c>
      <x:c r="H50" s="29" t="n">
        <x:f>'Pricing'!$D$7</x:f>
        <x:v>5</x:v>
      </x:c>
      <x:c r="I50" s="30" t="n">
        <x:f>IF($Y50="No public API price","",$G50/'Pricing'!$M$2*$H50)</x:f>
        <x:v>6.538659999999999</x:v>
      </x:c>
      <x:c r="J50" s="28" t="n">
        <x:v>5140096</x:v>
      </x:c>
      <x:c r="K50" s="29" t="n">
        <x:f>'Pricing'!$E$7</x:f>
        <x:v>0.5</x:v>
      </x:c>
      <x:c r="L50" s="30" t="n">
        <x:f>IF($Y50="No public API price","",$J50/'Pricing'!$M$2*$K50)</x:f>
        <x:v>2.570048</x:v>
      </x:c>
      <x:c r="M50" s="28" t="n">
        <x:v>0</x:v>
      </x:c>
      <x:c r="N50" s="29" t="n">
        <x:f>'Pricing'!$F$7</x:f>
        <x:v>0</x:v>
      </x:c>
      <x:c r="O50" s="30" t="n">
        <x:f>IF($Y50="No public API price","",$M50/'Pricing'!$M$2*$N50)</x:f>
        <x:v>0</x:v>
      </x:c>
      <x:c r="P50" s="28" t="n">
        <x:v>0</x:v>
      </x:c>
      <x:c r="Q50" s="29" t="n">
        <x:f>'Pricing'!$G$7</x:f>
        <x:v>0</x:v>
      </x:c>
      <x:c r="R50" s="30" t="n">
        <x:f>IF($Y50="No public API price","",$P50/'Pricing'!$M$2*$Q50)</x:f>
        <x:v>0</x:v>
      </x:c>
      <x:c r="S50" s="28" t="n">
        <x:v>87819</x:v>
      </x:c>
      <x:c r="T50" s="29" t="n">
        <x:f>'Pricing'!$H$7</x:f>
        <x:v>30</x:v>
      </x:c>
      <x:c r="U50" s="30" t="n">
        <x:f>IF($Y50="No public API price","",$S50/'Pricing'!$M$2*$T50)</x:f>
        <x:v>2.6345699999999996</x:v>
      </x:c>
      <x:c r="V50" s="28" t="n">
        <x:v>14890</x:v>
      </x:c>
      <x:c r="W50" s="28" t="n">
        <x:v>6535647</x:v>
      </x:c>
      <x:c r="X50" s="30" t="n">
        <x:f>IF($Y50="No public API price","",SUM($I50,$L50,$O50,$R50,$U50))</x:f>
        <x:v>11.743278</x:v>
      </x:c>
      <x:c r="Y50" s="26" t="str">
        <x:f>'Pricing'!$C$7</x:f>
        <x:v>Published</x:v>
      </x:c>
    </x:row>
    <x:row r="51" ht="20" customHeight="1">
      <x:c r="A51" s="25" t="str">
        <x:v>2026-04-27</x:v>
      </x:c>
      <x:c r="B51" s="26" t="str">
        <x:v>April</x:v>
      </x:c>
      <x:c r="C51" s="27" t="n">
        <x:v>2026</x:v>
      </x:c>
      <x:c r="D51" s="26" t="str">
        <x:v>OpenAI</x:v>
      </x:c>
      <x:c r="E51" s="26" t="str">
        <x:v>gpt-5.5</x:v>
      </x:c>
      <x:c r="F51" s="28" t="n">
        <x:v>381218</x:v>
      </x:c>
      <x:c r="G51" s="28" t="n">
        <x:v>80802</x:v>
      </x:c>
      <x:c r="H51" s="29" t="n">
        <x:f>'Pricing'!$D$7</x:f>
        <x:v>5</x:v>
      </x:c>
      <x:c r="I51" s="30" t="n">
        <x:f>IF($Y51="No public API price","",$G51/'Pricing'!$M$2*$H51)</x:f>
        <x:v>0.40401</x:v>
      </x:c>
      <x:c r="J51" s="28" t="n">
        <x:v>300416</x:v>
      </x:c>
      <x:c r="K51" s="29" t="n">
        <x:f>'Pricing'!$E$7</x:f>
        <x:v>0.5</x:v>
      </x:c>
      <x:c r="L51" s="30" t="n">
        <x:f>IF($Y51="No public API price","",$J51/'Pricing'!$M$2*$K51)</x:f>
        <x:v>0.150208</x:v>
      </x:c>
      <x:c r="M51" s="28" t="n">
        <x:v>0</x:v>
      </x:c>
      <x:c r="N51" s="29" t="n">
        <x:f>'Pricing'!$F$7</x:f>
        <x:v>0</x:v>
      </x:c>
      <x:c r="O51" s="30" t="n">
        <x:f>IF($Y51="No public API price","",$M51/'Pricing'!$M$2*$N51)</x:f>
        <x:v>0</x:v>
      </x:c>
      <x:c r="P51" s="28" t="n">
        <x:v>0</x:v>
      </x:c>
      <x:c r="Q51" s="29" t="n">
        <x:f>'Pricing'!$G$7</x:f>
        <x:v>0</x:v>
      </x:c>
      <x:c r="R51" s="30" t="n">
        <x:f>IF($Y51="No public API price","",$P51/'Pricing'!$M$2*$Q51)</x:f>
        <x:v>0</x:v>
      </x:c>
      <x:c r="S51" s="28" t="n">
        <x:v>5656</x:v>
      </x:c>
      <x:c r="T51" s="29" t="n">
        <x:f>'Pricing'!$H$7</x:f>
        <x:v>30</x:v>
      </x:c>
      <x:c r="U51" s="30" t="n">
        <x:f>IF($Y51="No public API price","",$S51/'Pricing'!$M$2*$T51)</x:f>
        <x:v>0.16968</x:v>
      </x:c>
      <x:c r="V51" s="28" t="n">
        <x:v>922</x:v>
      </x:c>
      <x:c r="W51" s="28" t="n">
        <x:v>386874</x:v>
      </x:c>
      <x:c r="X51" s="30" t="n">
        <x:f>IF($Y51="No public API price","",SUM($I51,$L51,$O51,$R51,$U51))</x:f>
        <x:v>0.7238979999999999</x:v>
      </x:c>
      <x:c r="Y51" s="26" t="str">
        <x:f>'Pricing'!$C$7</x:f>
        <x:v>Published</x:v>
      </x:c>
    </x:row>
    <x:row r="52" ht="20" customHeight="1">
      <x:c r="A52" s="25" t="str">
        <x:v>2026-04-28</x:v>
      </x:c>
      <x:c r="B52" s="26" t="str">
        <x:v>April</x:v>
      </x:c>
      <x:c r="C52" s="27" t="n">
        <x:v>2026</x:v>
      </x:c>
      <x:c r="D52" s="26" t="str">
        <x:v>OpenAI</x:v>
      </x:c>
      <x:c r="E52" s="26" t="str">
        <x:v>gpt-5.5</x:v>
      </x:c>
      <x:c r="F52" s="28" t="n">
        <x:v>776818</x:v>
      </x:c>
      <x:c r="G52" s="28" t="n">
        <x:v>171506</x:v>
      </x:c>
      <x:c r="H52" s="29" t="n">
        <x:f>'Pricing'!$D$7</x:f>
        <x:v>5</x:v>
      </x:c>
      <x:c r="I52" s="30" t="n">
        <x:f>IF($Y52="No public API price","",$G52/'Pricing'!$M$2*$H52)</x:f>
        <x:v>0.8575299999999999</x:v>
      </x:c>
      <x:c r="J52" s="28" t="n">
        <x:v>605312</x:v>
      </x:c>
      <x:c r="K52" s="29" t="n">
        <x:f>'Pricing'!$E$7</x:f>
        <x:v>0.5</x:v>
      </x:c>
      <x:c r="L52" s="30" t="n">
        <x:f>IF($Y52="No public API price","",$J52/'Pricing'!$M$2*$K52)</x:f>
        <x:v>0.302656</x:v>
      </x:c>
      <x:c r="M52" s="28" t="n">
        <x:v>0</x:v>
      </x:c>
      <x:c r="N52" s="29" t="n">
        <x:f>'Pricing'!$F$7</x:f>
        <x:v>0</x:v>
      </x:c>
      <x:c r="O52" s="30" t="n">
        <x:f>IF($Y52="No public API price","",$M52/'Pricing'!$M$2*$N52)</x:f>
        <x:v>0</x:v>
      </x:c>
      <x:c r="P52" s="28" t="n">
        <x:v>0</x:v>
      </x:c>
      <x:c r="Q52" s="29" t="n">
        <x:f>'Pricing'!$G$7</x:f>
        <x:v>0</x:v>
      </x:c>
      <x:c r="R52" s="30" t="n">
        <x:f>IF($Y52="No public API price","",$P52/'Pricing'!$M$2*$Q52)</x:f>
        <x:v>0</x:v>
      </x:c>
      <x:c r="S52" s="28" t="n">
        <x:v>9234</x:v>
      </x:c>
      <x:c r="T52" s="29" t="n">
        <x:f>'Pricing'!$H$7</x:f>
        <x:v>30</x:v>
      </x:c>
      <x:c r="U52" s="30" t="n">
        <x:f>IF($Y52="No public API price","",$S52/'Pricing'!$M$2*$T52)</x:f>
        <x:v>0.27702</x:v>
      </x:c>
      <x:c r="V52" s="28" t="n">
        <x:v>2420</x:v>
      </x:c>
      <x:c r="W52" s="28" t="n">
        <x:v>786052</x:v>
      </x:c>
      <x:c r="X52" s="30" t="n">
        <x:f>IF($Y52="No public API price","",SUM($I52,$L52,$O52,$R52,$U52))</x:f>
        <x:v>1.437206</x:v>
      </x:c>
      <x:c r="Y52" s="26" t="str">
        <x:f>'Pricing'!$C$7</x:f>
        <x:v>Published</x:v>
      </x:c>
    </x:row>
    <x:row r="53" ht="20" customHeight="1">
      <x:c r="A53" s="25" t="str">
        <x:v>2026-04-29</x:v>
      </x:c>
      <x:c r="B53" s="26" t="str">
        <x:v>April</x:v>
      </x:c>
      <x:c r="C53" s="27" t="n">
        <x:v>2026</x:v>
      </x:c>
      <x:c r="D53" s="26" t="str">
        <x:v>OpenAI</x:v>
      </x:c>
      <x:c r="E53" s="26" t="str">
        <x:v>gpt-5.5</x:v>
      </x:c>
      <x:c r="F53" s="28" t="n">
        <x:v>3764395</x:v>
      </x:c>
      <x:c r="G53" s="28" t="n">
        <x:v>787499</x:v>
      </x:c>
      <x:c r="H53" s="29" t="n">
        <x:f>'Pricing'!$D$7</x:f>
        <x:v>5</x:v>
      </x:c>
      <x:c r="I53" s="30" t="n">
        <x:f>IF($Y53="No public API price","",$G53/'Pricing'!$M$2*$H53)</x:f>
        <x:v>3.9374949999999997</x:v>
      </x:c>
      <x:c r="J53" s="28" t="n">
        <x:v>2976896</x:v>
      </x:c>
      <x:c r="K53" s="29" t="n">
        <x:f>'Pricing'!$E$7</x:f>
        <x:v>0.5</x:v>
      </x:c>
      <x:c r="L53" s="30" t="n">
        <x:f>IF($Y53="No public API price","",$J53/'Pricing'!$M$2*$K53)</x:f>
        <x:v>1.488448</x:v>
      </x:c>
      <x:c r="M53" s="28" t="n">
        <x:v>0</x:v>
      </x:c>
      <x:c r="N53" s="29" t="n">
        <x:f>'Pricing'!$F$7</x:f>
        <x:v>0</x:v>
      </x:c>
      <x:c r="O53" s="30" t="n">
        <x:f>IF($Y53="No public API price","",$M53/'Pricing'!$M$2*$N53)</x:f>
        <x:v>0</x:v>
      </x:c>
      <x:c r="P53" s="28" t="n">
        <x:v>0</x:v>
      </x:c>
      <x:c r="Q53" s="29" t="n">
        <x:f>'Pricing'!$G$7</x:f>
        <x:v>0</x:v>
      </x:c>
      <x:c r="R53" s="30" t="n">
        <x:f>IF($Y53="No public API price","",$P53/'Pricing'!$M$2*$Q53)</x:f>
        <x:v>0</x:v>
      </x:c>
      <x:c r="S53" s="28" t="n">
        <x:v>39752</x:v>
      </x:c>
      <x:c r="T53" s="29" t="n">
        <x:f>'Pricing'!$H$7</x:f>
        <x:v>30</x:v>
      </x:c>
      <x:c r="U53" s="30" t="n">
        <x:f>IF($Y53="No public API price","",$S53/'Pricing'!$M$2*$T53)</x:f>
        <x:v>1.19256</x:v>
      </x:c>
      <x:c r="V53" s="28" t="n">
        <x:v>17493</x:v>
      </x:c>
      <x:c r="W53" s="28" t="n">
        <x:v>3804147</x:v>
      </x:c>
      <x:c r="X53" s="30" t="n">
        <x:f>IF($Y53="No public API price","",SUM($I53,$L53,$O53,$R53,$U53))</x:f>
        <x:v>6.6185030000000005</x:v>
      </x:c>
      <x:c r="Y53" s="26" t="str">
        <x:f>'Pricing'!$C$7</x:f>
        <x:v>Published</x:v>
      </x:c>
    </x:row>
    <x:row r="54" ht="20" customHeight="1">
      <x:c r="A54" s="25" t="str">
        <x:v>2026-04-30</x:v>
      </x:c>
      <x:c r="B54" s="26" t="str">
        <x:v>April</x:v>
      </x:c>
      <x:c r="C54" s="27" t="n">
        <x:v>2026</x:v>
      </x:c>
      <x:c r="D54" s="26" t="str">
        <x:v>OpenAI</x:v>
      </x:c>
      <x:c r="E54" s="26" t="str">
        <x:v>gpt-5.5</x:v>
      </x:c>
      <x:c r="F54" s="28" t="n">
        <x:v>1825806</x:v>
      </x:c>
      <x:c r="G54" s="28" t="n">
        <x:v>398862</x:v>
      </x:c>
      <x:c r="H54" s="29" t="n">
        <x:f>'Pricing'!$D$7</x:f>
        <x:v>5</x:v>
      </x:c>
      <x:c r="I54" s="30" t="n">
        <x:f>IF($Y54="No public API price","",$G54/'Pricing'!$M$2*$H54)</x:f>
        <x:v>1.99431</x:v>
      </x:c>
      <x:c r="J54" s="28" t="n">
        <x:v>1426944</x:v>
      </x:c>
      <x:c r="K54" s="29" t="n">
        <x:f>'Pricing'!$E$7</x:f>
        <x:v>0.5</x:v>
      </x:c>
      <x:c r="L54" s="30" t="n">
        <x:f>IF($Y54="No public API price","",$J54/'Pricing'!$M$2*$K54)</x:f>
        <x:v>0.713472</x:v>
      </x:c>
      <x:c r="M54" s="28" t="n">
        <x:v>0</x:v>
      </x:c>
      <x:c r="N54" s="29" t="n">
        <x:f>'Pricing'!$F$7</x:f>
        <x:v>0</x:v>
      </x:c>
      <x:c r="O54" s="30" t="n">
        <x:f>IF($Y54="No public API price","",$M54/'Pricing'!$M$2*$N54)</x:f>
        <x:v>0</x:v>
      </x:c>
      <x:c r="P54" s="28" t="n">
        <x:v>0</x:v>
      </x:c>
      <x:c r="Q54" s="29" t="n">
        <x:f>'Pricing'!$G$7</x:f>
        <x:v>0</x:v>
      </x:c>
      <x:c r="R54" s="30" t="n">
        <x:f>IF($Y54="No public API price","",$P54/'Pricing'!$M$2*$Q54)</x:f>
        <x:v>0</x:v>
      </x:c>
      <x:c r="S54" s="28" t="n">
        <x:v>15513</x:v>
      </x:c>
      <x:c r="T54" s="29" t="n">
        <x:f>'Pricing'!$H$7</x:f>
        <x:v>30</x:v>
      </x:c>
      <x:c r="U54" s="30" t="n">
        <x:f>IF($Y54="No public API price","",$S54/'Pricing'!$M$2*$T54)</x:f>
        <x:v>0.46539</x:v>
      </x:c>
      <x:c r="V54" s="28" t="n">
        <x:v>5388</x:v>
      </x:c>
      <x:c r="W54" s="28" t="n">
        <x:v>1841319</x:v>
      </x:c>
      <x:c r="X54" s="30" t="n">
        <x:f>IF($Y54="No public API price","",SUM($I54,$L54,$O54,$R54,$U54))</x:f>
        <x:v>3.173172</x:v>
      </x:c>
      <x:c r="Y54" s="26" t="str">
        <x:f>'Pricing'!$C$7</x:f>
        <x:v>Published</x:v>
      </x:c>
    </x:row>
    <x:row r="55" ht="20" customHeight="1">
      <x:c r="A55" s="25" t="str">
        <x:v>2026-05-01</x:v>
      </x:c>
      <x:c r="B55" s="26" t="str">
        <x:v>May</x:v>
      </x:c>
      <x:c r="C55" s="27" t="n">
        <x:v>2026</x:v>
      </x:c>
      <x:c r="D55" s="26" t="str">
        <x:v>OpenAI</x:v>
      </x:c>
      <x:c r="E55" s="26" t="str">
        <x:v>gpt-5.5</x:v>
      </x:c>
      <x:c r="F55" s="28" t="n">
        <x:v>1397353</x:v>
      </x:c>
      <x:c r="G55" s="28" t="n">
        <x:v>343529</x:v>
      </x:c>
      <x:c r="H55" s="29" t="n">
        <x:f>'Pricing'!$D$7</x:f>
        <x:v>5</x:v>
      </x:c>
      <x:c r="I55" s="30" t="n">
        <x:f>IF($Y55="No public API price","",$G55/'Pricing'!$M$2*$H55)</x:f>
        <x:v>1.7176449999999999</x:v>
      </x:c>
      <x:c r="J55" s="28" t="n">
        <x:v>1053824</x:v>
      </x:c>
      <x:c r="K55" s="29" t="n">
        <x:f>'Pricing'!$E$7</x:f>
        <x:v>0.5</x:v>
      </x:c>
      <x:c r="L55" s="30" t="n">
        <x:f>IF($Y55="No public API price","",$J55/'Pricing'!$M$2*$K55)</x:f>
        <x:v>0.526912</x:v>
      </x:c>
      <x:c r="M55" s="28" t="n">
        <x:v>0</x:v>
      </x:c>
      <x:c r="N55" s="29" t="n">
        <x:f>'Pricing'!$F$7</x:f>
        <x:v>0</x:v>
      </x:c>
      <x:c r="O55" s="30" t="n">
        <x:f>IF($Y55="No public API price","",$M55/'Pricing'!$M$2*$N55)</x:f>
        <x:v>0</x:v>
      </x:c>
      <x:c r="P55" s="28" t="n">
        <x:v>0</x:v>
      </x:c>
      <x:c r="Q55" s="29" t="n">
        <x:f>'Pricing'!$G$7</x:f>
        <x:v>0</x:v>
      </x:c>
      <x:c r="R55" s="30" t="n">
        <x:f>IF($Y55="No public API price","",$P55/'Pricing'!$M$2*$Q55)</x:f>
        <x:v>0</x:v>
      </x:c>
      <x:c r="S55" s="28" t="n">
        <x:v>21105</x:v>
      </x:c>
      <x:c r="T55" s="29" t="n">
        <x:f>'Pricing'!$H$7</x:f>
        <x:v>30</x:v>
      </x:c>
      <x:c r="U55" s="30" t="n">
        <x:f>IF($Y55="No public API price","",$S55/'Pricing'!$M$2*$T55)</x:f>
        <x:v>0.63315</x:v>
      </x:c>
      <x:c r="V55" s="28" t="n">
        <x:v>7444</x:v>
      </x:c>
      <x:c r="W55" s="28" t="n">
        <x:v>1418458</x:v>
      </x:c>
      <x:c r="X55" s="30" t="n">
        <x:f>IF($Y55="No public API price","",SUM($I55,$L55,$O55,$R55,$U55))</x:f>
        <x:v>2.877707</x:v>
      </x:c>
      <x:c r="Y55" s="26" t="str">
        <x:f>'Pricing'!$C$7</x:f>
        <x:v>Published</x:v>
      </x:c>
    </x:row>
    <x:row r="56" ht="20" customHeight="1">
      <x:c r="A56" s="25" t="str">
        <x:v>2026-05-02</x:v>
      </x:c>
      <x:c r="B56" s="26" t="str">
        <x:v>May</x:v>
      </x:c>
      <x:c r="C56" s="27" t="n">
        <x:v>2026</x:v>
      </x:c>
      <x:c r="D56" s="26" t="str">
        <x:v>OpenAI</x:v>
      </x:c>
      <x:c r="E56" s="26" t="str">
        <x:v>gpt-5.5</x:v>
      </x:c>
      <x:c r="F56" s="28" t="n">
        <x:v>340884</x:v>
      </x:c>
      <x:c r="G56" s="28" t="n">
        <x:v>135828</x:v>
      </x:c>
      <x:c r="H56" s="29" t="n">
        <x:f>'Pricing'!$D$7</x:f>
        <x:v>5</x:v>
      </x:c>
      <x:c r="I56" s="30" t="n">
        <x:f>IF($Y56="No public API price","",$G56/'Pricing'!$M$2*$H56)</x:f>
        <x:v>0.6791400000000001</x:v>
      </x:c>
      <x:c r="J56" s="28" t="n">
        <x:v>205056</x:v>
      </x:c>
      <x:c r="K56" s="29" t="n">
        <x:f>'Pricing'!$E$7</x:f>
        <x:v>0.5</x:v>
      </x:c>
      <x:c r="L56" s="30" t="n">
        <x:f>IF($Y56="No public API price","",$J56/'Pricing'!$M$2*$K56)</x:f>
        <x:v>0.102528</x:v>
      </x:c>
      <x:c r="M56" s="28" t="n">
        <x:v>0</x:v>
      </x:c>
      <x:c r="N56" s="29" t="n">
        <x:f>'Pricing'!$F$7</x:f>
        <x:v>0</x:v>
      </x:c>
      <x:c r="O56" s="30" t="n">
        <x:f>IF($Y56="No public API price","",$M56/'Pricing'!$M$2*$N56)</x:f>
        <x:v>0</x:v>
      </x:c>
      <x:c r="P56" s="28" t="n">
        <x:v>0</x:v>
      </x:c>
      <x:c r="Q56" s="29" t="n">
        <x:f>'Pricing'!$G$7</x:f>
        <x:v>0</x:v>
      </x:c>
      <x:c r="R56" s="30" t="n">
        <x:f>IF($Y56="No public API price","",$P56/'Pricing'!$M$2*$Q56)</x:f>
        <x:v>0</x:v>
      </x:c>
      <x:c r="S56" s="28" t="n">
        <x:v>5292</x:v>
      </x:c>
      <x:c r="T56" s="29" t="n">
        <x:f>'Pricing'!$H$7</x:f>
        <x:v>30</x:v>
      </x:c>
      <x:c r="U56" s="30" t="n">
        <x:f>IF($Y56="No public API price","",$S56/'Pricing'!$M$2*$T56)</x:f>
        <x:v>0.15875999999999998</x:v>
      </x:c>
      <x:c r="V56" s="28" t="n">
        <x:v>1167</x:v>
      </x:c>
      <x:c r="W56" s="28" t="n">
        <x:v>346176</x:v>
      </x:c>
      <x:c r="X56" s="30" t="n">
        <x:f>IF($Y56="No public API price","",SUM($I56,$L56,$O56,$R56,$U56))</x:f>
        <x:v>0.940428</x:v>
      </x:c>
      <x:c r="Y56" s="26" t="str">
        <x:f>'Pricing'!$C$7</x:f>
        <x:v>Published</x:v>
      </x:c>
    </x:row>
    <x:row r="57" ht="20" customHeight="1">
      <x:c r="A57" s="25" t="str">
        <x:v>2026-05-03</x:v>
      </x:c>
      <x:c r="B57" s="26" t="str">
        <x:v>May</x:v>
      </x:c>
      <x:c r="C57" s="27" t="n">
        <x:v>2026</x:v>
      </x:c>
      <x:c r="D57" s="26" t="str">
        <x:v>OpenAI</x:v>
      </x:c>
      <x:c r="E57" s="26" t="str">
        <x:v>gpt-5.5</x:v>
      </x:c>
      <x:c r="F57" s="28" t="n">
        <x:v>108323623</x:v>
      </x:c>
      <x:c r="G57" s="28" t="n">
        <x:v>5533607</x:v>
      </x:c>
      <x:c r="H57" s="29" t="n">
        <x:f>'Pricing'!$D$7</x:f>
        <x:v>5</x:v>
      </x:c>
      <x:c r="I57" s="30" t="n">
        <x:f>IF($Y57="No public API price","",$G57/'Pricing'!$M$2*$H57)</x:f>
        <x:v>27.668035</x:v>
      </x:c>
      <x:c r="J57" s="28" t="n">
        <x:v>102790016</x:v>
      </x:c>
      <x:c r="K57" s="29" t="n">
        <x:f>'Pricing'!$E$7</x:f>
        <x:v>0.5</x:v>
      </x:c>
      <x:c r="L57" s="30" t="n">
        <x:f>IF($Y57="No public API price","",$J57/'Pricing'!$M$2*$K57)</x:f>
        <x:v>51.395008</x:v>
      </x:c>
      <x:c r="M57" s="28" t="n">
        <x:v>0</x:v>
      </x:c>
      <x:c r="N57" s="29" t="n">
        <x:f>'Pricing'!$F$7</x:f>
        <x:v>0</x:v>
      </x:c>
      <x:c r="O57" s="30" t="n">
        <x:f>IF($Y57="No public API price","",$M57/'Pricing'!$M$2*$N57)</x:f>
        <x:v>0</x:v>
      </x:c>
      <x:c r="P57" s="28" t="n">
        <x:v>0</x:v>
      </x:c>
      <x:c r="Q57" s="29" t="n">
        <x:f>'Pricing'!$G$7</x:f>
        <x:v>0</x:v>
      </x:c>
      <x:c r="R57" s="30" t="n">
        <x:f>IF($Y57="No public API price","",$P57/'Pricing'!$M$2*$Q57)</x:f>
        <x:v>0</x:v>
      </x:c>
      <x:c r="S57" s="28" t="n">
        <x:v>340110</x:v>
      </x:c>
      <x:c r="T57" s="29" t="n">
        <x:f>'Pricing'!$H$7</x:f>
        <x:v>30</x:v>
      </x:c>
      <x:c r="U57" s="30" t="n">
        <x:f>IF($Y57="No public API price","",$S57/'Pricing'!$M$2*$T57)</x:f>
        <x:v>10.2033</x:v>
      </x:c>
      <x:c r="V57" s="28" t="n">
        <x:v>76576</x:v>
      </x:c>
      <x:c r="W57" s="28" t="n">
        <x:v>108663733</x:v>
      </x:c>
      <x:c r="X57" s="30" t="n">
        <x:f>IF($Y57="No public API price","",SUM($I57,$L57,$O57,$R57,$U57))</x:f>
        <x:v>89.26634299999999</x:v>
      </x:c>
      <x:c r="Y57" s="26" t="str">
        <x:f>'Pricing'!$C$7</x:f>
        <x:v>Published</x:v>
      </x:c>
    </x:row>
    <x:row r="58" ht="20" customHeight="1">
      <x:c r="A58" s="25" t="str">
        <x:v>2026-05-05</x:v>
      </x:c>
      <x:c r="B58" s="26" t="str">
        <x:v>May</x:v>
      </x:c>
      <x:c r="C58" s="27" t="n">
        <x:v>2026</x:v>
      </x:c>
      <x:c r="D58" s="26" t="str">
        <x:v>OpenAI</x:v>
      </x:c>
      <x:c r="E58" s="26" t="str">
        <x:v>gpt-5.5</x:v>
      </x:c>
      <x:c r="F58" s="28" t="n">
        <x:v>2539041</x:v>
      </x:c>
      <x:c r="G58" s="28" t="n">
        <x:v>578465</x:v>
      </x:c>
      <x:c r="H58" s="29" t="n">
        <x:f>'Pricing'!$D$7</x:f>
        <x:v>5</x:v>
      </x:c>
      <x:c r="I58" s="30" t="n">
        <x:f>IF($Y58="No public API price","",$G58/'Pricing'!$M$2*$H58)</x:f>
        <x:v>2.892325</x:v>
      </x:c>
      <x:c r="J58" s="28" t="n">
        <x:v>1960576</x:v>
      </x:c>
      <x:c r="K58" s="29" t="n">
        <x:f>'Pricing'!$E$7</x:f>
        <x:v>0.5</x:v>
      </x:c>
      <x:c r="L58" s="30" t="n">
        <x:f>IF($Y58="No public API price","",$J58/'Pricing'!$M$2*$K58)</x:f>
        <x:v>0.980288</x:v>
      </x:c>
      <x:c r="M58" s="28" t="n">
        <x:v>0</x:v>
      </x:c>
      <x:c r="N58" s="29" t="n">
        <x:f>'Pricing'!$F$7</x:f>
        <x:v>0</x:v>
      </x:c>
      <x:c r="O58" s="30" t="n">
        <x:f>IF($Y58="No public API price","",$M58/'Pricing'!$M$2*$N58)</x:f>
        <x:v>0</x:v>
      </x:c>
      <x:c r="P58" s="28" t="n">
        <x:v>0</x:v>
      </x:c>
      <x:c r="Q58" s="29" t="n">
        <x:f>'Pricing'!$G$7</x:f>
        <x:v>0</x:v>
      </x:c>
      <x:c r="R58" s="30" t="n">
        <x:f>IF($Y58="No public API price","",$P58/'Pricing'!$M$2*$Q58)</x:f>
        <x:v>0</x:v>
      </x:c>
      <x:c r="S58" s="28" t="n">
        <x:v>44040</x:v>
      </x:c>
      <x:c r="T58" s="29" t="n">
        <x:f>'Pricing'!$H$7</x:f>
        <x:v>30</x:v>
      </x:c>
      <x:c r="U58" s="30" t="n">
        <x:f>IF($Y58="No public API price","",$S58/'Pricing'!$M$2*$T58)</x:f>
        <x:v>1.3212000000000002</x:v>
      </x:c>
      <x:c r="V58" s="28" t="n">
        <x:v>17820</x:v>
      </x:c>
      <x:c r="W58" s="28" t="n">
        <x:v>2583081</x:v>
      </x:c>
      <x:c r="X58" s="30" t="n">
        <x:f>IF($Y58="No public API price","",SUM($I58,$L58,$O58,$R58,$U58))</x:f>
        <x:v>5.1938130000000005</x:v>
      </x:c>
      <x:c r="Y58" s="26" t="str">
        <x:f>'Pricing'!$C$7</x:f>
        <x:v>Published</x:v>
      </x:c>
    </x:row>
    <x:row r="59" ht="20" customHeight="1">
      <x:c r="A59" s="25" t="str">
        <x:v>2026-05-06</x:v>
      </x:c>
      <x:c r="B59" s="26" t="str">
        <x:v>May</x:v>
      </x:c>
      <x:c r="C59" s="27" t="n">
        <x:v>2026</x:v>
      </x:c>
      <x:c r="D59" s="26" t="str">
        <x:v>OpenAI</x:v>
      </x:c>
      <x:c r="E59" s="26" t="str">
        <x:v>gpt-5.5</x:v>
      </x:c>
      <x:c r="F59" s="28" t="n">
        <x:v>37454963</x:v>
      </x:c>
      <x:c r="G59" s="28" t="n">
        <x:v>1617011</x:v>
      </x:c>
      <x:c r="H59" s="29" t="n">
        <x:f>'Pricing'!$D$7</x:f>
        <x:v>5</x:v>
      </x:c>
      <x:c r="I59" s="30" t="n">
        <x:f>IF($Y59="No public API price","",$G59/'Pricing'!$M$2*$H59)</x:f>
        <x:v>8.085055</x:v>
      </x:c>
      <x:c r="J59" s="28" t="n">
        <x:v>35837952</x:v>
      </x:c>
      <x:c r="K59" s="29" t="n">
        <x:f>'Pricing'!$E$7</x:f>
        <x:v>0.5</x:v>
      </x:c>
      <x:c r="L59" s="30" t="n">
        <x:f>IF($Y59="No public API price","",$J59/'Pricing'!$M$2*$K59)</x:f>
        <x:v>17.918976</x:v>
      </x:c>
      <x:c r="M59" s="28" t="n">
        <x:v>0</x:v>
      </x:c>
      <x:c r="N59" s="29" t="n">
        <x:f>'Pricing'!$F$7</x:f>
        <x:v>0</x:v>
      </x:c>
      <x:c r="O59" s="30" t="n">
        <x:f>IF($Y59="No public API price","",$M59/'Pricing'!$M$2*$N59)</x:f>
        <x:v>0</x:v>
      </x:c>
      <x:c r="P59" s="28" t="n">
        <x:v>0</x:v>
      </x:c>
      <x:c r="Q59" s="29" t="n">
        <x:f>'Pricing'!$G$7</x:f>
        <x:v>0</x:v>
      </x:c>
      <x:c r="R59" s="30" t="n">
        <x:f>IF($Y59="No public API price","",$P59/'Pricing'!$M$2*$Q59)</x:f>
        <x:v>0</x:v>
      </x:c>
      <x:c r="S59" s="28" t="n">
        <x:v>135293</x:v>
      </x:c>
      <x:c r="T59" s="29" t="n">
        <x:f>'Pricing'!$H$7</x:f>
        <x:v>30</x:v>
      </x:c>
      <x:c r="U59" s="30" t="n">
        <x:f>IF($Y59="No public API price","",$S59/'Pricing'!$M$2*$T59)</x:f>
        <x:v>4.05879</x:v>
      </x:c>
      <x:c r="V59" s="28" t="n">
        <x:v>45772</x:v>
      </x:c>
      <x:c r="W59" s="28" t="n">
        <x:v>37590256</x:v>
      </x:c>
      <x:c r="X59" s="30" t="n">
        <x:f>IF($Y59="No public API price","",SUM($I59,$L59,$O59,$R59,$U59))</x:f>
        <x:v>30.062821</x:v>
      </x:c>
      <x:c r="Y59" s="26" t="str">
        <x:f>'Pricing'!$C$7</x:f>
        <x:v>Published</x:v>
      </x:c>
    </x:row>
    <x:row r="60" ht="20" customHeight="1">
      <x:c r="A60" s="25" t="str">
        <x:v>2026-05-07</x:v>
      </x:c>
      <x:c r="B60" s="26" t="str">
        <x:v>May</x:v>
      </x:c>
      <x:c r="C60" s="27" t="n">
        <x:v>2026</x:v>
      </x:c>
      <x:c r="D60" s="26" t="str">
        <x:v>OpenAI</x:v>
      </x:c>
      <x:c r="E60" s="26" t="str">
        <x:v>gpt-5.5</x:v>
      </x:c>
      <x:c r="F60" s="28" t="n">
        <x:v>241088</x:v>
      </x:c>
      <x:c r="G60" s="28" t="n">
        <x:v>78528</x:v>
      </x:c>
      <x:c r="H60" s="29" t="n">
        <x:f>'Pricing'!$D$7</x:f>
        <x:v>5</x:v>
      </x:c>
      <x:c r="I60" s="30" t="n">
        <x:f>IF($Y60="No public API price","",$G60/'Pricing'!$M$2*$H60)</x:f>
        <x:v>0.39264</x:v>
      </x:c>
      <x:c r="J60" s="28" t="n">
        <x:v>162560</x:v>
      </x:c>
      <x:c r="K60" s="29" t="n">
        <x:f>'Pricing'!$E$7</x:f>
        <x:v>0.5</x:v>
      </x:c>
      <x:c r="L60" s="30" t="n">
        <x:f>IF($Y60="No public API price","",$J60/'Pricing'!$M$2*$K60)</x:f>
        <x:v>0.08128</x:v>
      </x:c>
      <x:c r="M60" s="28" t="n">
        <x:v>0</x:v>
      </x:c>
      <x:c r="N60" s="29" t="n">
        <x:f>'Pricing'!$F$7</x:f>
        <x:v>0</x:v>
      </x:c>
      <x:c r="O60" s="30" t="n">
        <x:f>IF($Y60="No public API price","",$M60/'Pricing'!$M$2*$N60)</x:f>
        <x:v>0</x:v>
      </x:c>
      <x:c r="P60" s="28" t="n">
        <x:v>0</x:v>
      </x:c>
      <x:c r="Q60" s="29" t="n">
        <x:f>'Pricing'!$G$7</x:f>
        <x:v>0</x:v>
      </x:c>
      <x:c r="R60" s="30" t="n">
        <x:f>IF($Y60="No public API price","",$P60/'Pricing'!$M$2*$Q60)</x:f>
        <x:v>0</x:v>
      </x:c>
      <x:c r="S60" s="28" t="n">
        <x:v>1707</x:v>
      </x:c>
      <x:c r="T60" s="29" t="n">
        <x:f>'Pricing'!$H$7</x:f>
        <x:v>30</x:v>
      </x:c>
      <x:c r="U60" s="30" t="n">
        <x:f>IF($Y60="No public API price","",$S60/'Pricing'!$M$2*$T60)</x:f>
        <x:v>0.05121</x:v>
      </x:c>
      <x:c r="V60" s="28" t="n">
        <x:v>298</x:v>
      </x:c>
      <x:c r="W60" s="28" t="n">
        <x:v>242795</x:v>
      </x:c>
      <x:c r="X60" s="30" t="n">
        <x:f>IF($Y60="No public API price","",SUM($I60,$L60,$O60,$R60,$U60))</x:f>
        <x:v>0.52513</x:v>
      </x:c>
      <x:c r="Y60" s="26" t="str">
        <x:f>'Pricing'!$C$7</x:f>
        <x:v>Published</x:v>
      </x:c>
    </x:row>
    <x:row r="61" ht="20" customHeight="1">
      <x:c r="A61" s="25" t="str">
        <x:v>2026-05-11</x:v>
      </x:c>
      <x:c r="B61" s="26" t="str">
        <x:v>May</x:v>
      </x:c>
      <x:c r="C61" s="27" t="n">
        <x:v>2026</x:v>
      </x:c>
      <x:c r="D61" s="26" t="str">
        <x:v>OpenAI</x:v>
      </x:c>
      <x:c r="E61" s="26" t="str">
        <x:v>gpt-5.5</x:v>
      </x:c>
      <x:c r="F61" s="28" t="n">
        <x:v>65333115</x:v>
      </x:c>
      <x:c r="G61" s="28" t="n">
        <x:v>4453243</x:v>
      </x:c>
      <x:c r="H61" s="29" t="n">
        <x:f>'Pricing'!$D$7</x:f>
        <x:v>5</x:v>
      </x:c>
      <x:c r="I61" s="30" t="n">
        <x:f>IF($Y61="No public API price","",$G61/'Pricing'!$M$2*$H61)</x:f>
        <x:v>22.266215</x:v>
      </x:c>
      <x:c r="J61" s="28" t="n">
        <x:v>60879872</x:v>
      </x:c>
      <x:c r="K61" s="29" t="n">
        <x:f>'Pricing'!$E$7</x:f>
        <x:v>0.5</x:v>
      </x:c>
      <x:c r="L61" s="30" t="n">
        <x:f>IF($Y61="No public API price","",$J61/'Pricing'!$M$2*$K61)</x:f>
        <x:v>30.439936</x:v>
      </x:c>
      <x:c r="M61" s="28" t="n">
        <x:v>0</x:v>
      </x:c>
      <x:c r="N61" s="29" t="n">
        <x:f>'Pricing'!$F$7</x:f>
        <x:v>0</x:v>
      </x:c>
      <x:c r="O61" s="30" t="n">
        <x:f>IF($Y61="No public API price","",$M61/'Pricing'!$M$2*$N61)</x:f>
        <x:v>0</x:v>
      </x:c>
      <x:c r="P61" s="28" t="n">
        <x:v>0</x:v>
      </x:c>
      <x:c r="Q61" s="29" t="n">
        <x:f>'Pricing'!$G$7</x:f>
        <x:v>0</x:v>
      </x:c>
      <x:c r="R61" s="30" t="n">
        <x:f>IF($Y61="No public API price","",$P61/'Pricing'!$M$2*$Q61)</x:f>
        <x:v>0</x:v>
      </x:c>
      <x:c r="S61" s="28" t="n">
        <x:v>304656</x:v>
      </x:c>
      <x:c r="T61" s="29" t="n">
        <x:f>'Pricing'!$H$7</x:f>
        <x:v>30</x:v>
      </x:c>
      <x:c r="U61" s="30" t="n">
        <x:f>IF($Y61="No public API price","",$S61/'Pricing'!$M$2*$T61)</x:f>
        <x:v>9.13968</x:v>
      </x:c>
      <x:c r="V61" s="28" t="n">
        <x:v>151692</x:v>
      </x:c>
      <x:c r="W61" s="28" t="n">
        <x:v>65637771</x:v>
      </x:c>
      <x:c r="X61" s="30" t="n">
        <x:f>IF($Y61="No public API price","",SUM($I61,$L61,$O61,$R61,$U61))</x:f>
        <x:v>61.845831</x:v>
      </x:c>
      <x:c r="Y61" s="26" t="str">
        <x:f>'Pricing'!$C$7</x:f>
        <x:v>Published</x:v>
      </x:c>
    </x:row>
    <x:row r="62" ht="20" customHeight="1">
      <x:c r="A62" s="25" t="str">
        <x:v>2026-05-12</x:v>
      </x:c>
      <x:c r="B62" s="26" t="str">
        <x:v>May</x:v>
      </x:c>
      <x:c r="C62" s="27" t="n">
        <x:v>2026</x:v>
      </x:c>
      <x:c r="D62" s="26" t="str">
        <x:v>OpenAI</x:v>
      </x:c>
      <x:c r="E62" s="26" t="str">
        <x:v>gpt-5.5</x:v>
      </x:c>
      <x:c r="F62" s="28" t="n">
        <x:v>378090131</x:v>
      </x:c>
      <x:c r="G62" s="28" t="n">
        <x:v>7443987</x:v>
      </x:c>
      <x:c r="H62" s="29" t="n">
        <x:f>'Pricing'!$D$7</x:f>
        <x:v>5</x:v>
      </x:c>
      <x:c r="I62" s="30" t="n">
        <x:f>IF($Y62="No public API price","",$G62/'Pricing'!$M$2*$H62)</x:f>
        <x:v>37.219935</x:v>
      </x:c>
      <x:c r="J62" s="28" t="n">
        <x:v>370646144</x:v>
      </x:c>
      <x:c r="K62" s="29" t="n">
        <x:f>'Pricing'!$E$7</x:f>
        <x:v>0.5</x:v>
      </x:c>
      <x:c r="L62" s="30" t="n">
        <x:f>IF($Y62="No public API price","",$J62/'Pricing'!$M$2*$K62)</x:f>
        <x:v>185.323072</x:v>
      </x:c>
      <x:c r="M62" s="28" t="n">
        <x:v>0</x:v>
      </x:c>
      <x:c r="N62" s="29" t="n">
        <x:f>'Pricing'!$F$7</x:f>
        <x:v>0</x:v>
      </x:c>
      <x:c r="O62" s="30" t="n">
        <x:f>IF($Y62="No public API price","",$M62/'Pricing'!$M$2*$N62)</x:f>
        <x:v>0</x:v>
      </x:c>
      <x:c r="P62" s="28" t="n">
        <x:v>0</x:v>
      </x:c>
      <x:c r="Q62" s="29" t="n">
        <x:f>'Pricing'!$G$7</x:f>
        <x:v>0</x:v>
      </x:c>
      <x:c r="R62" s="30" t="n">
        <x:f>IF($Y62="No public API price","",$P62/'Pricing'!$M$2*$Q62)</x:f>
        <x:v>0</x:v>
      </x:c>
      <x:c r="S62" s="28" t="n">
        <x:v>675588</x:v>
      </x:c>
      <x:c r="T62" s="29" t="n">
        <x:f>'Pricing'!$H$7</x:f>
        <x:v>30</x:v>
      </x:c>
      <x:c r="U62" s="30" t="n">
        <x:f>IF($Y62="No public API price","",$S62/'Pricing'!$M$2*$T62)</x:f>
        <x:v>20.26764</x:v>
      </x:c>
      <x:c r="V62" s="28" t="n">
        <x:v>187383</x:v>
      </x:c>
      <x:c r="W62" s="28" t="n">
        <x:v>378765719</x:v>
      </x:c>
      <x:c r="X62" s="30" t="n">
        <x:f>IF($Y62="No public API price","",SUM($I62,$L62,$O62,$R62,$U62))</x:f>
        <x:v>242.810647</x:v>
      </x:c>
      <x:c r="Y62" s="26" t="str">
        <x:f>'Pricing'!$C$7</x:f>
        <x:v>Published</x:v>
      </x:c>
    </x:row>
    <x:row r="63" ht="20" customHeight="1">
      <x:c r="A63" s="25" t="str">
        <x:v>2026-05-13</x:v>
      </x:c>
      <x:c r="B63" s="26" t="str">
        <x:v>May</x:v>
      </x:c>
      <x:c r="C63" s="27" t="n">
        <x:v>2026</x:v>
      </x:c>
      <x:c r="D63" s="26" t="str">
        <x:v>OpenAI</x:v>
      </x:c>
      <x:c r="E63" s="26" t="str">
        <x:v>gpt-5.5</x:v>
      </x:c>
      <x:c r="F63" s="28" t="n">
        <x:v>532545637</x:v>
      </x:c>
      <x:c r="G63" s="28" t="n">
        <x:v>9102437</x:v>
      </x:c>
      <x:c r="H63" s="29" t="n">
        <x:f>'Pricing'!$D$7</x:f>
        <x:v>5</x:v>
      </x:c>
      <x:c r="I63" s="30" t="n">
        <x:f>IF($Y63="No public API price","",$G63/'Pricing'!$M$2*$H63)</x:f>
        <x:v>45.512185</x:v>
      </x:c>
      <x:c r="J63" s="28" t="n">
        <x:v>523443200</x:v>
      </x:c>
      <x:c r="K63" s="29" t="n">
        <x:f>'Pricing'!$E$7</x:f>
        <x:v>0.5</x:v>
      </x:c>
      <x:c r="L63" s="30" t="n">
        <x:f>IF($Y63="No public API price","",$J63/'Pricing'!$M$2*$K63)</x:f>
        <x:v>261.7216</x:v>
      </x:c>
      <x:c r="M63" s="28" t="n">
        <x:v>0</x:v>
      </x:c>
      <x:c r="N63" s="29" t="n">
        <x:f>'Pricing'!$F$7</x:f>
        <x:v>0</x:v>
      </x:c>
      <x:c r="O63" s="30" t="n">
        <x:f>IF($Y63="No public API price","",$M63/'Pricing'!$M$2*$N63)</x:f>
        <x:v>0</x:v>
      </x:c>
      <x:c r="P63" s="28" t="n">
        <x:v>0</x:v>
      </x:c>
      <x:c r="Q63" s="29" t="n">
        <x:f>'Pricing'!$G$7</x:f>
        <x:v>0</x:v>
      </x:c>
      <x:c r="R63" s="30" t="n">
        <x:f>IF($Y63="No public API price","",$P63/'Pricing'!$M$2*$Q63)</x:f>
        <x:v>0</x:v>
      </x:c>
      <x:c r="S63" s="28" t="n">
        <x:v>831933</x:v>
      </x:c>
      <x:c r="T63" s="29" t="n">
        <x:f>'Pricing'!$H$7</x:f>
        <x:v>30</x:v>
      </x:c>
      <x:c r="U63" s="30" t="n">
        <x:f>IF($Y63="No public API price","",$S63/'Pricing'!$M$2*$T63)</x:f>
        <x:v>24.957990000000002</x:v>
      </x:c>
      <x:c r="V63" s="28" t="n">
        <x:v>179450</x:v>
      </x:c>
      <x:c r="W63" s="28" t="n">
        <x:v>533377570</x:v>
      </x:c>
      <x:c r="X63" s="30" t="n">
        <x:f>IF($Y63="No public API price","",SUM($I63,$L63,$O63,$R63,$U63))</x:f>
        <x:v>332.191775</x:v>
      </x:c>
      <x:c r="Y63" s="26" t="str">
        <x:f>'Pricing'!$C$7</x:f>
        <x:v>Published</x:v>
      </x:c>
    </x:row>
    <x:row r="64" ht="20" customHeight="1">
      <x:c r="A64" s="25" t="str">
        <x:v>2026-05-14</x:v>
      </x:c>
      <x:c r="B64" s="26" t="str">
        <x:v>May</x:v>
      </x:c>
      <x:c r="C64" s="27" t="n">
        <x:v>2026</x:v>
      </x:c>
      <x:c r="D64" s="26" t="str">
        <x:v>OpenAI</x:v>
      </x:c>
      <x:c r="E64" s="26" t="str">
        <x:v>gpt-5.5</x:v>
      </x:c>
      <x:c r="F64" s="28" t="n">
        <x:v>384572760</x:v>
      </x:c>
      <x:c r="G64" s="28" t="n">
        <x:v>7852120</x:v>
      </x:c>
      <x:c r="H64" s="29" t="n">
        <x:f>'Pricing'!$D$7</x:f>
        <x:v>5</x:v>
      </x:c>
      <x:c r="I64" s="30" t="n">
        <x:f>IF($Y64="No public API price","",$G64/'Pricing'!$M$2*$H64)</x:f>
        <x:v>39.260600000000004</x:v>
      </x:c>
      <x:c r="J64" s="28" t="n">
        <x:v>376720640</x:v>
      </x:c>
      <x:c r="K64" s="29" t="n">
        <x:f>'Pricing'!$E$7</x:f>
        <x:v>0.5</x:v>
      </x:c>
      <x:c r="L64" s="30" t="n">
        <x:f>IF($Y64="No public API price","",$J64/'Pricing'!$M$2*$K64)</x:f>
        <x:v>188.36032</x:v>
      </x:c>
      <x:c r="M64" s="28" t="n">
        <x:v>0</x:v>
      </x:c>
      <x:c r="N64" s="29" t="n">
        <x:f>'Pricing'!$F$7</x:f>
        <x:v>0</x:v>
      </x:c>
      <x:c r="O64" s="30" t="n">
        <x:f>IF($Y64="No public API price","",$M64/'Pricing'!$M$2*$N64)</x:f>
        <x:v>0</x:v>
      </x:c>
      <x:c r="P64" s="28" t="n">
        <x:v>0</x:v>
      </x:c>
      <x:c r="Q64" s="29" t="n">
        <x:f>'Pricing'!$G$7</x:f>
        <x:v>0</x:v>
      </x:c>
      <x:c r="R64" s="30" t="n">
        <x:f>IF($Y64="No public API price","",$P64/'Pricing'!$M$2*$Q64)</x:f>
        <x:v>0</x:v>
      </x:c>
      <x:c r="S64" s="28" t="n">
        <x:v>818187</x:v>
      </x:c>
      <x:c r="T64" s="29" t="n">
        <x:f>'Pricing'!$H$7</x:f>
        <x:v>30</x:v>
      </x:c>
      <x:c r="U64" s="30" t="n">
        <x:f>IF($Y64="No public API price","",$S64/'Pricing'!$M$2*$T64)</x:f>
        <x:v>24.54561</x:v>
      </x:c>
      <x:c r="V64" s="28" t="n">
        <x:v>225377</x:v>
      </x:c>
      <x:c r="W64" s="28" t="n">
        <x:v>385390947</x:v>
      </x:c>
      <x:c r="X64" s="30" t="n">
        <x:f>IF($Y64="No public API price","",SUM($I64,$L64,$O64,$R64,$U64))</x:f>
        <x:v>252.16653000000002</x:v>
      </x:c>
      <x:c r="Y64" s="26" t="str">
        <x:f>'Pricing'!$C$7</x:f>
        <x:v>Published</x:v>
      </x:c>
    </x:row>
    <x:row r="65" ht="20" customHeight="1">
      <x:c r="A65" s="25" t="str">
        <x:v>2026-05-15</x:v>
      </x:c>
      <x:c r="B65" s="26" t="str">
        <x:v>May</x:v>
      </x:c>
      <x:c r="C65" s="27" t="n">
        <x:v>2026</x:v>
      </x:c>
      <x:c r="D65" s="26" t="str">
        <x:v>OpenAI</x:v>
      </x:c>
      <x:c r="E65" s="26" t="str">
        <x:v>gpt-5.5</x:v>
      </x:c>
      <x:c r="F65" s="28" t="n">
        <x:v>92644256</x:v>
      </x:c>
      <x:c r="G65" s="28" t="n">
        <x:v>7253408</x:v>
      </x:c>
      <x:c r="H65" s="29" t="n">
        <x:f>'Pricing'!$D$7</x:f>
        <x:v>5</x:v>
      </x:c>
      <x:c r="I65" s="30" t="n">
        <x:f>IF($Y65="No public API price","",$G65/'Pricing'!$M$2*$H65)</x:f>
        <x:v>36.26704</x:v>
      </x:c>
      <x:c r="J65" s="28" t="n">
        <x:v>85390848</x:v>
      </x:c>
      <x:c r="K65" s="29" t="n">
        <x:f>'Pricing'!$E$7</x:f>
        <x:v>0.5</x:v>
      </x:c>
      <x:c r="L65" s="30" t="n">
        <x:f>IF($Y65="No public API price","",$J65/'Pricing'!$M$2*$K65)</x:f>
        <x:v>42.695424</x:v>
      </x:c>
      <x:c r="M65" s="28" t="n">
        <x:v>0</x:v>
      </x:c>
      <x:c r="N65" s="29" t="n">
        <x:f>'Pricing'!$F$7</x:f>
        <x:v>0</x:v>
      </x:c>
      <x:c r="O65" s="30" t="n">
        <x:f>IF($Y65="No public API price","",$M65/'Pricing'!$M$2*$N65)</x:f>
        <x:v>0</x:v>
      </x:c>
      <x:c r="P65" s="28" t="n">
        <x:v>0</x:v>
      </x:c>
      <x:c r="Q65" s="29" t="n">
        <x:f>'Pricing'!$G$7</x:f>
        <x:v>0</x:v>
      </x:c>
      <x:c r="R65" s="30" t="n">
        <x:f>IF($Y65="No public API price","",$P65/'Pricing'!$M$2*$Q65)</x:f>
        <x:v>0</x:v>
      </x:c>
      <x:c r="S65" s="28" t="n">
        <x:v>594913</x:v>
      </x:c>
      <x:c r="T65" s="29" t="n">
        <x:f>'Pricing'!$H$7</x:f>
        <x:v>30</x:v>
      </x:c>
      <x:c r="U65" s="30" t="n">
        <x:f>IF($Y65="No public API price","",$S65/'Pricing'!$M$2*$T65)</x:f>
        <x:v>17.84739</x:v>
      </x:c>
      <x:c r="V65" s="28" t="n">
        <x:v>371690</x:v>
      </x:c>
      <x:c r="W65" s="28" t="n">
        <x:v>93239169</x:v>
      </x:c>
      <x:c r="X65" s="30" t="n">
        <x:f>IF($Y65="No public API price","",SUM($I65,$L65,$O65,$R65,$U65))</x:f>
        <x:v>96.80985400000002</x:v>
      </x:c>
      <x:c r="Y65" s="26" t="str">
        <x:f>'Pricing'!$C$7</x:f>
        <x:v>Published</x:v>
      </x:c>
    </x:row>
    <x:row r="66" ht="20" customHeight="1">
      <x:c r="A66" s="25" t="str">
        <x:v>2026-05-16</x:v>
      </x:c>
      <x:c r="B66" s="26" t="str">
        <x:v>May</x:v>
      </x:c>
      <x:c r="C66" s="27" t="n">
        <x:v>2026</x:v>
      </x:c>
      <x:c r="D66" s="26" t="str">
        <x:v>OpenAI</x:v>
      </x:c>
      <x:c r="E66" s="26" t="str">
        <x:v>gpt-5.5</x:v>
      </x:c>
      <x:c r="F66" s="28" t="n">
        <x:v>18794025</x:v>
      </x:c>
      <x:c r="G66" s="28" t="n">
        <x:v>2690601</x:v>
      </x:c>
      <x:c r="H66" s="29" t="n">
        <x:f>'Pricing'!$D$7</x:f>
        <x:v>5</x:v>
      </x:c>
      <x:c r="I66" s="30" t="n">
        <x:f>IF($Y66="No public API price","",$G66/'Pricing'!$M$2*$H66)</x:f>
        <x:v>13.453005000000001</x:v>
      </x:c>
      <x:c r="J66" s="28" t="n">
        <x:v>16103424</x:v>
      </x:c>
      <x:c r="K66" s="29" t="n">
        <x:f>'Pricing'!$E$7</x:f>
        <x:v>0.5</x:v>
      </x:c>
      <x:c r="L66" s="30" t="n">
        <x:f>IF($Y66="No public API price","",$J66/'Pricing'!$M$2*$K66)</x:f>
        <x:v>8.051712</x:v>
      </x:c>
      <x:c r="M66" s="28" t="n">
        <x:v>0</x:v>
      </x:c>
      <x:c r="N66" s="29" t="n">
        <x:f>'Pricing'!$F$7</x:f>
        <x:v>0</x:v>
      </x:c>
      <x:c r="O66" s="30" t="n">
        <x:f>IF($Y66="No public API price","",$M66/'Pricing'!$M$2*$N66)</x:f>
        <x:v>0</x:v>
      </x:c>
      <x:c r="P66" s="28" t="n">
        <x:v>0</x:v>
      </x:c>
      <x:c r="Q66" s="29" t="n">
        <x:f>'Pricing'!$G$7</x:f>
        <x:v>0</x:v>
      </x:c>
      <x:c r="R66" s="30" t="n">
        <x:f>IF($Y66="No public API price","",$P66/'Pricing'!$M$2*$Q66)</x:f>
        <x:v>0</x:v>
      </x:c>
      <x:c r="S66" s="28" t="n">
        <x:v>188396</x:v>
      </x:c>
      <x:c r="T66" s="29" t="n">
        <x:f>'Pricing'!$H$7</x:f>
        <x:v>30</x:v>
      </x:c>
      <x:c r="U66" s="30" t="n">
        <x:f>IF($Y66="No public API price","",$S66/'Pricing'!$M$2*$T66)</x:f>
        <x:v>5.65188</x:v>
      </x:c>
      <x:c r="V66" s="28" t="n">
        <x:v>127319</x:v>
      </x:c>
      <x:c r="W66" s="28" t="n">
        <x:v>18982421</x:v>
      </x:c>
      <x:c r="X66" s="30" t="n">
        <x:f>IF($Y66="No public API price","",SUM($I66,$L66,$O66,$R66,$U66))</x:f>
        <x:v>27.156596999999998</x:v>
      </x:c>
      <x:c r="Y66" s="26" t="str">
        <x:f>'Pricing'!$C$7</x:f>
        <x:v>Published</x:v>
      </x:c>
    </x:row>
    <x:row r="67" ht="20" customHeight="1">
      <x:c r="A67" s="25" t="str">
        <x:v>2026-05-17</x:v>
      </x:c>
      <x:c r="B67" s="26" t="str">
        <x:v>May</x:v>
      </x:c>
      <x:c r="C67" s="27" t="n">
        <x:v>2026</x:v>
      </x:c>
      <x:c r="D67" s="26" t="str">
        <x:v>OpenAI</x:v>
      </x:c>
      <x:c r="E67" s="26" t="str">
        <x:v>gpt-5.5</x:v>
      </x:c>
      <x:c r="F67" s="28" t="n">
        <x:v>16267983</x:v>
      </x:c>
      <x:c r="G67" s="28" t="n">
        <x:v>1067599</x:v>
      </x:c>
      <x:c r="H67" s="29" t="n">
        <x:f>'Pricing'!$D$7</x:f>
        <x:v>5</x:v>
      </x:c>
      <x:c r="I67" s="30" t="n">
        <x:f>IF($Y67="No public API price","",$G67/'Pricing'!$M$2*$H67)</x:f>
        <x:v>5.337994999999999</x:v>
      </x:c>
      <x:c r="J67" s="28" t="n">
        <x:v>15200384</x:v>
      </x:c>
      <x:c r="K67" s="29" t="n">
        <x:f>'Pricing'!$E$7</x:f>
        <x:v>0.5</x:v>
      </x:c>
      <x:c r="L67" s="30" t="n">
        <x:f>IF($Y67="No public API price","",$J67/'Pricing'!$M$2*$K67)</x:f>
        <x:v>7.600192</x:v>
      </x:c>
      <x:c r="M67" s="28" t="n">
        <x:v>0</x:v>
      </x:c>
      <x:c r="N67" s="29" t="n">
        <x:f>'Pricing'!$F$7</x:f>
        <x:v>0</x:v>
      </x:c>
      <x:c r="O67" s="30" t="n">
        <x:f>IF($Y67="No public API price","",$M67/'Pricing'!$M$2*$N67)</x:f>
        <x:v>0</x:v>
      </x:c>
      <x:c r="P67" s="28" t="n">
        <x:v>0</x:v>
      </x:c>
      <x:c r="Q67" s="29" t="n">
        <x:f>'Pricing'!$G$7</x:f>
        <x:v>0</x:v>
      </x:c>
      <x:c r="R67" s="30" t="n">
        <x:f>IF($Y67="No public API price","",$P67/'Pricing'!$M$2*$Q67)</x:f>
        <x:v>0</x:v>
      </x:c>
      <x:c r="S67" s="28" t="n">
        <x:v>88297</x:v>
      </x:c>
      <x:c r="T67" s="29" t="n">
        <x:f>'Pricing'!$H$7</x:f>
        <x:v>30</x:v>
      </x:c>
      <x:c r="U67" s="30" t="n">
        <x:f>IF($Y67="No public API price","",$S67/'Pricing'!$M$2*$T67)</x:f>
        <x:v>2.64891</x:v>
      </x:c>
      <x:c r="V67" s="28" t="n">
        <x:v>46974</x:v>
      </x:c>
      <x:c r="W67" s="28" t="n">
        <x:v>16356280</x:v>
      </x:c>
      <x:c r="X67" s="30" t="n">
        <x:f>IF($Y67="No public API price","",SUM($I67,$L67,$O67,$R67,$U67))</x:f>
        <x:v>15.587097</x:v>
      </x:c>
      <x:c r="Y67" s="26" t="str">
        <x:f>'Pricing'!$C$7</x:f>
        <x:v>Published</x:v>
      </x:c>
    </x:row>
    <x:row r="68" ht="20" customHeight="1">
      <x:c r="A68" s="25" t="str">
        <x:v>2026-05-18</x:v>
      </x:c>
      <x:c r="B68" s="26" t="str">
        <x:v>May</x:v>
      </x:c>
      <x:c r="C68" s="27" t="n">
        <x:v>2026</x:v>
      </x:c>
      <x:c r="D68" s="26" t="str">
        <x:v>OpenAI</x:v>
      </x:c>
      <x:c r="E68" s="26" t="str">
        <x:v>gpt-5.5</x:v>
      </x:c>
      <x:c r="F68" s="28" t="n">
        <x:v>22872872</x:v>
      </x:c>
      <x:c r="G68" s="28" t="n">
        <x:v>2284200</x:v>
      </x:c>
      <x:c r="H68" s="29" t="n">
        <x:f>'Pricing'!$D$7</x:f>
        <x:v>5</x:v>
      </x:c>
      <x:c r="I68" s="30" t="n">
        <x:f>IF($Y68="No public API price","",$G68/'Pricing'!$M$2*$H68)</x:f>
        <x:v>11.421</x:v>
      </x:c>
      <x:c r="J68" s="28" t="n">
        <x:v>20588672</x:v>
      </x:c>
      <x:c r="K68" s="29" t="n">
        <x:f>'Pricing'!$E$7</x:f>
        <x:v>0.5</x:v>
      </x:c>
      <x:c r="L68" s="30" t="n">
        <x:f>IF($Y68="No public API price","",$J68/'Pricing'!$M$2*$K68)</x:f>
        <x:v>10.294336</x:v>
      </x:c>
      <x:c r="M68" s="28" t="n">
        <x:v>0</x:v>
      </x:c>
      <x:c r="N68" s="29" t="n">
        <x:f>'Pricing'!$F$7</x:f>
        <x:v>0</x:v>
      </x:c>
      <x:c r="O68" s="30" t="n">
        <x:f>IF($Y68="No public API price","",$M68/'Pricing'!$M$2*$N68)</x:f>
        <x:v>0</x:v>
      </x:c>
      <x:c r="P68" s="28" t="n">
        <x:v>0</x:v>
      </x:c>
      <x:c r="Q68" s="29" t="n">
        <x:f>'Pricing'!$G$7</x:f>
        <x:v>0</x:v>
      </x:c>
      <x:c r="R68" s="30" t="n">
        <x:f>IF($Y68="No public API price","",$P68/'Pricing'!$M$2*$Q68)</x:f>
        <x:v>0</x:v>
      </x:c>
      <x:c r="S68" s="28" t="n">
        <x:v>174632</x:v>
      </x:c>
      <x:c r="T68" s="29" t="n">
        <x:f>'Pricing'!$H$7</x:f>
        <x:v>30</x:v>
      </x:c>
      <x:c r="U68" s="30" t="n">
        <x:f>IF($Y68="No public API price","",$S68/'Pricing'!$M$2*$T68)</x:f>
        <x:v>5.2389600000000005</x:v>
      </x:c>
      <x:c r="V68" s="28" t="n">
        <x:v>106827</x:v>
      </x:c>
      <x:c r="W68" s="28" t="n">
        <x:v>23047504</x:v>
      </x:c>
      <x:c r="X68" s="30" t="n">
        <x:f>IF($Y68="No public API price","",SUM($I68,$L68,$O68,$R68,$U68))</x:f>
        <x:v>26.954296</x:v>
      </x:c>
      <x:c r="Y68" s="26" t="str">
        <x:f>'Pricing'!$C$7</x:f>
        <x:v>Published</x:v>
      </x:c>
    </x:row>
    <x:row r="69" ht="20" customHeight="1">
      <x:c r="A69" s="25" t="str">
        <x:v>2026-05-19</x:v>
      </x:c>
      <x:c r="B69" s="26" t="str">
        <x:v>May</x:v>
      </x:c>
      <x:c r="C69" s="27" t="n">
        <x:v>2026</x:v>
      </x:c>
      <x:c r="D69" s="26" t="str">
        <x:v>OpenAI</x:v>
      </x:c>
      <x:c r="E69" s="26" t="str">
        <x:v>gpt-5.5</x:v>
      </x:c>
      <x:c r="F69" s="28" t="n">
        <x:v>70840084</x:v>
      </x:c>
      <x:c r="G69" s="28" t="n">
        <x:v>4470036</x:v>
      </x:c>
      <x:c r="H69" s="29" t="n">
        <x:f>'Pricing'!$D$7</x:f>
        <x:v>5</x:v>
      </x:c>
      <x:c r="I69" s="30" t="n">
        <x:f>IF($Y69="No public API price","",$G69/'Pricing'!$M$2*$H69)</x:f>
        <x:v>22.35018</x:v>
      </x:c>
      <x:c r="J69" s="28" t="n">
        <x:v>66370048</x:v>
      </x:c>
      <x:c r="K69" s="29" t="n">
        <x:f>'Pricing'!$E$7</x:f>
        <x:v>0.5</x:v>
      </x:c>
      <x:c r="L69" s="30" t="n">
        <x:f>IF($Y69="No public API price","",$J69/'Pricing'!$M$2*$K69)</x:f>
        <x:v>33.185024</x:v>
      </x:c>
      <x:c r="M69" s="28" t="n">
        <x:v>0</x:v>
      </x:c>
      <x:c r="N69" s="29" t="n">
        <x:f>'Pricing'!$F$7</x:f>
        <x:v>0</x:v>
      </x:c>
      <x:c r="O69" s="30" t="n">
        <x:f>IF($Y69="No public API price","",$M69/'Pricing'!$M$2*$N69)</x:f>
        <x:v>0</x:v>
      </x:c>
      <x:c r="P69" s="28" t="n">
        <x:v>0</x:v>
      </x:c>
      <x:c r="Q69" s="29" t="n">
        <x:f>'Pricing'!$G$7</x:f>
        <x:v>0</x:v>
      </x:c>
      <x:c r="R69" s="30" t="n">
        <x:f>IF($Y69="No public API price","",$P69/'Pricing'!$M$2*$Q69)</x:f>
        <x:v>0</x:v>
      </x:c>
      <x:c r="S69" s="28" t="n">
        <x:v>352432</x:v>
      </x:c>
      <x:c r="T69" s="29" t="n">
        <x:f>'Pricing'!$H$7</x:f>
        <x:v>30</x:v>
      </x:c>
      <x:c r="U69" s="30" t="n">
        <x:f>IF($Y69="No public API price","",$S69/'Pricing'!$M$2*$T69)</x:f>
        <x:v>10.57296</x:v>
      </x:c>
      <x:c r="V69" s="28" t="n">
        <x:v>178601</x:v>
      </x:c>
      <x:c r="W69" s="28" t="n">
        <x:v>71192516</x:v>
      </x:c>
      <x:c r="X69" s="30" t="n">
        <x:f>IF($Y69="No public API price","",SUM($I69,$L69,$O69,$R69,$U69))</x:f>
        <x:v>66.108164</x:v>
      </x:c>
      <x:c r="Y69" s="26" t="str">
        <x:f>'Pricing'!$C$7</x:f>
        <x:v>Published</x:v>
      </x:c>
    </x:row>
    <x:row r="70" ht="20" customHeight="1">
      <x:c r="A70" s="25" t="str">
        <x:v>2026-05-20</x:v>
      </x:c>
      <x:c r="B70" s="26" t="str">
        <x:v>May</x:v>
      </x:c>
      <x:c r="C70" s="27" t="n">
        <x:v>2026</x:v>
      </x:c>
      <x:c r="D70" s="26" t="str">
        <x:v>OpenAI</x:v>
      </x:c>
      <x:c r="E70" s="26" t="str">
        <x:v>gpt-5.5</x:v>
      </x:c>
      <x:c r="F70" s="28" t="n">
        <x:v>98463520</x:v>
      </x:c>
      <x:c r="G70" s="28" t="n">
        <x:v>5419424</x:v>
      </x:c>
      <x:c r="H70" s="29" t="n">
        <x:f>'Pricing'!$D$7</x:f>
        <x:v>5</x:v>
      </x:c>
      <x:c r="I70" s="30" t="n">
        <x:f>IF($Y70="No public API price","",$G70/'Pricing'!$M$2*$H70)</x:f>
        <x:v>27.09712</x:v>
      </x:c>
      <x:c r="J70" s="28" t="n">
        <x:v>93044096</x:v>
      </x:c>
      <x:c r="K70" s="29" t="n">
        <x:f>'Pricing'!$E$7</x:f>
        <x:v>0.5</x:v>
      </x:c>
      <x:c r="L70" s="30" t="n">
        <x:f>IF($Y70="No public API price","",$J70/'Pricing'!$M$2*$K70)</x:f>
        <x:v>46.522048</x:v>
      </x:c>
      <x:c r="M70" s="28" t="n">
        <x:v>0</x:v>
      </x:c>
      <x:c r="N70" s="29" t="n">
        <x:f>'Pricing'!$F$7</x:f>
        <x:v>0</x:v>
      </x:c>
      <x:c r="O70" s="30" t="n">
        <x:f>IF($Y70="No public API price","",$M70/'Pricing'!$M$2*$N70)</x:f>
        <x:v>0</x:v>
      </x:c>
      <x:c r="P70" s="28" t="n">
        <x:v>0</x:v>
      </x:c>
      <x:c r="Q70" s="29" t="n">
        <x:f>'Pricing'!$G$7</x:f>
        <x:v>0</x:v>
      </x:c>
      <x:c r="R70" s="30" t="n">
        <x:f>IF($Y70="No public API price","",$P70/'Pricing'!$M$2*$Q70)</x:f>
        <x:v>0</x:v>
      </x:c>
      <x:c r="S70" s="28" t="n">
        <x:v>440031</x:v>
      </x:c>
      <x:c r="T70" s="29" t="n">
        <x:f>'Pricing'!$H$7</x:f>
        <x:v>30</x:v>
      </x:c>
      <x:c r="U70" s="30" t="n">
        <x:f>IF($Y70="No public API price","",$S70/'Pricing'!$M$2*$T70)</x:f>
        <x:v>13.20093</x:v>
      </x:c>
      <x:c r="V70" s="28" t="n">
        <x:v>253558</x:v>
      </x:c>
      <x:c r="W70" s="28" t="n">
        <x:v>98903551</x:v>
      </x:c>
      <x:c r="X70" s="30" t="n">
        <x:f>IF($Y70="No public API price","",SUM($I70,$L70,$O70,$R70,$U70))</x:f>
        <x:v>86.820098</x:v>
      </x:c>
      <x:c r="Y70" s="26" t="str">
        <x:f>'Pricing'!$C$7</x:f>
        <x:v>Published</x:v>
      </x:c>
    </x:row>
    <x:row r="71" ht="20" customHeight="1">
      <x:c r="A71" s="25" t="str">
        <x:v>2026-05-21</x:v>
      </x:c>
      <x:c r="B71" s="26" t="str">
        <x:v>May</x:v>
      </x:c>
      <x:c r="C71" s="27" t="n">
        <x:v>2026</x:v>
      </x:c>
      <x:c r="D71" s="26" t="str">
        <x:v>OpenAI</x:v>
      </x:c>
      <x:c r="E71" s="26" t="str">
        <x:v>gpt-5.2</x:v>
      </x:c>
      <x:c r="F71" s="28" t="n">
        <x:v>38260</x:v>
      </x:c>
      <x:c r="G71" s="28" t="n">
        <x:v>33908</x:v>
      </x:c>
      <x:c r="H71" s="29" t="n">
        <x:f>'Pricing'!$D$2</x:f>
        <x:v>1.75</x:v>
      </x:c>
      <x:c r="I71" s="30" t="n">
        <x:f>IF($Y71="No public API price","",$G71/'Pricing'!$M$2*$H71)</x:f>
        <x:v>0.059339</x:v>
      </x:c>
      <x:c r="J71" s="28" t="n">
        <x:v>4352</x:v>
      </x:c>
      <x:c r="K71" s="29" t="n">
        <x:f>'Pricing'!$E$2</x:f>
        <x:v>0.175</x:v>
      </x:c>
      <x:c r="L71" s="30" t="n">
        <x:f>IF($Y71="No public API price","",$J71/'Pricing'!$M$2*$K71)</x:f>
        <x:v>0.0007616</x:v>
      </x:c>
      <x:c r="M71" s="28" t="n">
        <x:v>0</x:v>
      </x:c>
      <x:c r="N71" s="29" t="n">
        <x:f>'Pricing'!$F$2</x:f>
        <x:v>0</x:v>
      </x:c>
      <x:c r="O71" s="30" t="n">
        <x:f>IF($Y71="No public API price","",$M71/'Pricing'!$M$2*$N71)</x:f>
        <x:v>0</x:v>
      </x:c>
      <x:c r="P71" s="28" t="n">
        <x:v>0</x:v>
      </x:c>
      <x:c r="Q71" s="29" t="n">
        <x:f>'Pricing'!$G$2</x:f>
        <x:v>0</x:v>
      </x:c>
      <x:c r="R71" s="30" t="n">
        <x:f>IF($Y71="No public API price","",$P71/'Pricing'!$M$2*$Q71)</x:f>
        <x:v>0</x:v>
      </x:c>
      <x:c r="S71" s="28" t="n">
        <x:v>8459</x:v>
      </x:c>
      <x:c r="T71" s="29" t="n">
        <x:f>'Pricing'!$H$2</x:f>
        <x:v>14</x:v>
      </x:c>
      <x:c r="U71" s="30" t="n">
        <x:f>IF($Y71="No public API price","",$S71/'Pricing'!$M$2*$T71)</x:f>
        <x:v>0.11842599999999999</x:v>
      </x:c>
      <x:c r="V71" s="28" t="n">
        <x:v>6876</x:v>
      </x:c>
      <x:c r="W71" s="28" t="n">
        <x:v>46719</x:v>
      </x:c>
      <x:c r="X71" s="30" t="n">
        <x:f>IF($Y71="No public API price","",SUM($I71,$L71,$O71,$R71,$U71))</x:f>
        <x:v>0.17852659999999998</x:v>
      </x:c>
      <x:c r="Y71" s="26" t="str">
        <x:f>'Pricing'!$C$2</x:f>
        <x:v>Published</x:v>
      </x:c>
    </x:row>
    <x:row r="72" ht="20" customHeight="1">
      <x:c r="A72" s="25" t="str">
        <x:v>2026-05-21</x:v>
      </x:c>
      <x:c r="B72" s="26" t="str">
        <x:v>May</x:v>
      </x:c>
      <x:c r="C72" s="27" t="n">
        <x:v>2026</x:v>
      </x:c>
      <x:c r="D72" s="26" t="str">
        <x:v>OpenAI</x:v>
      </x:c>
      <x:c r="E72" s="26" t="str">
        <x:v>gpt-5.5</x:v>
      </x:c>
      <x:c r="F72" s="28" t="n">
        <x:v>56111495</x:v>
      </x:c>
      <x:c r="G72" s="28" t="n">
        <x:v>3540743</x:v>
      </x:c>
      <x:c r="H72" s="29" t="n">
        <x:f>'Pricing'!$D$7</x:f>
        <x:v>5</x:v>
      </x:c>
      <x:c r="I72" s="30" t="n">
        <x:f>IF($Y72="No public API price","",$G72/'Pricing'!$M$2*$H72)</x:f>
        <x:v>17.703715</x:v>
      </x:c>
      <x:c r="J72" s="28" t="n">
        <x:v>52570752</x:v>
      </x:c>
      <x:c r="K72" s="29" t="n">
        <x:f>'Pricing'!$E$7</x:f>
        <x:v>0.5</x:v>
      </x:c>
      <x:c r="L72" s="30" t="n">
        <x:f>IF($Y72="No public API price","",$J72/'Pricing'!$M$2*$K72)</x:f>
        <x:v>26.285376</x:v>
      </x:c>
      <x:c r="M72" s="28" t="n">
        <x:v>0</x:v>
      </x:c>
      <x:c r="N72" s="29" t="n">
        <x:f>'Pricing'!$F$7</x:f>
        <x:v>0</x:v>
      </x:c>
      <x:c r="O72" s="30" t="n">
        <x:f>IF($Y72="No public API price","",$M72/'Pricing'!$M$2*$N72)</x:f>
        <x:v>0</x:v>
      </x:c>
      <x:c r="P72" s="28" t="n">
        <x:v>0</x:v>
      </x:c>
      <x:c r="Q72" s="29" t="n">
        <x:f>'Pricing'!$G$7</x:f>
        <x:v>0</x:v>
      </x:c>
      <x:c r="R72" s="30" t="n">
        <x:f>IF($Y72="No public API price","",$P72/'Pricing'!$M$2*$Q72)</x:f>
        <x:v>0</x:v>
      </x:c>
      <x:c r="S72" s="28" t="n">
        <x:v>325771</x:v>
      </x:c>
      <x:c r="T72" s="29" t="n">
        <x:f>'Pricing'!$H$7</x:f>
        <x:v>30</x:v>
      </x:c>
      <x:c r="U72" s="30" t="n">
        <x:f>IF($Y72="No public API price","",$S72/'Pricing'!$M$2*$T72)</x:f>
        <x:v>9.77313</x:v>
      </x:c>
      <x:c r="V72" s="28" t="n">
        <x:v>201121</x:v>
      </x:c>
      <x:c r="W72" s="28" t="n">
        <x:v>56437266</x:v>
      </x:c>
      <x:c r="X72" s="30" t="n">
        <x:f>IF($Y72="No public API price","",SUM($I72,$L72,$O72,$R72,$U72))</x:f>
        <x:v>53.762221000000004</x:v>
      </x:c>
      <x:c r="Y72" s="26" t="str">
        <x:f>'Pricing'!$C$7</x:f>
        <x:v>Published</x:v>
      </x:c>
    </x:row>
    <x:row r="73" ht="20" customHeight="1">
      <x:c r="A73" s="25" t="str">
        <x:v>2026-05-22</x:v>
      </x:c>
      <x:c r="B73" s="26" t="str">
        <x:v>May</x:v>
      </x:c>
      <x:c r="C73" s="27" t="n">
        <x:v>2026</x:v>
      </x:c>
      <x:c r="D73" s="26" t="str">
        <x:v>OpenAI</x:v>
      </x:c>
      <x:c r="E73" s="26" t="str">
        <x:v>gpt-5.5</x:v>
      </x:c>
      <x:c r="F73" s="28" t="n">
        <x:v>38164428</x:v>
      </x:c>
      <x:c r="G73" s="28" t="n">
        <x:v>3285452</x:v>
      </x:c>
      <x:c r="H73" s="29" t="n">
        <x:f>'Pricing'!$D$7</x:f>
        <x:v>5</x:v>
      </x:c>
      <x:c r="I73" s="30" t="n">
        <x:f>IF($Y73="No public API price","",$G73/'Pricing'!$M$2*$H73)</x:f>
        <x:v>16.42726</x:v>
      </x:c>
      <x:c r="J73" s="28" t="n">
        <x:v>34878976</x:v>
      </x:c>
      <x:c r="K73" s="29" t="n">
        <x:f>'Pricing'!$E$7</x:f>
        <x:v>0.5</x:v>
      </x:c>
      <x:c r="L73" s="30" t="n">
        <x:f>IF($Y73="No public API price","",$J73/'Pricing'!$M$2*$K73)</x:f>
        <x:v>17.439488</x:v>
      </x:c>
      <x:c r="M73" s="28" t="n">
        <x:v>0</x:v>
      </x:c>
      <x:c r="N73" s="29" t="n">
        <x:f>'Pricing'!$F$7</x:f>
        <x:v>0</x:v>
      </x:c>
      <x:c r="O73" s="30" t="n">
        <x:f>IF($Y73="No public API price","",$M73/'Pricing'!$M$2*$N73)</x:f>
        <x:v>0</x:v>
      </x:c>
      <x:c r="P73" s="28" t="n">
        <x:v>0</x:v>
      </x:c>
      <x:c r="Q73" s="29" t="n">
        <x:f>'Pricing'!$G$7</x:f>
        <x:v>0</x:v>
      </x:c>
      <x:c r="R73" s="30" t="n">
        <x:f>IF($Y73="No public API price","",$P73/'Pricing'!$M$2*$Q73)</x:f>
        <x:v>0</x:v>
      </x:c>
      <x:c r="S73" s="28" t="n">
        <x:v>214016</x:v>
      </x:c>
      <x:c r="T73" s="29" t="n">
        <x:f>'Pricing'!$H$7</x:f>
        <x:v>30</x:v>
      </x:c>
      <x:c r="U73" s="30" t="n">
        <x:f>IF($Y73="No public API price","",$S73/'Pricing'!$M$2*$T73)</x:f>
        <x:v>6.42048</x:v>
      </x:c>
      <x:c r="V73" s="28" t="n">
        <x:v>105059</x:v>
      </x:c>
      <x:c r="W73" s="28" t="n">
        <x:v>38378444</x:v>
      </x:c>
      <x:c r="X73" s="30" t="n">
        <x:f>IF($Y73="No public API price","",SUM($I73,$L73,$O73,$R73,$U73))</x:f>
        <x:v>40.287228</x:v>
      </x:c>
      <x:c r="Y73" s="26" t="str">
        <x:f>'Pricing'!$C$7</x:f>
        <x:v>Published</x:v>
      </x:c>
    </x:row>
    <x:row r="74" ht="20" customHeight="1">
      <x:c r="A74" s="25" t="str">
        <x:v>2026-05-23</x:v>
      </x:c>
      <x:c r="B74" s="26" t="str">
        <x:v>May</x:v>
      </x:c>
      <x:c r="C74" s="27" t="n">
        <x:v>2026</x:v>
      </x:c>
      <x:c r="D74" s="26" t="str">
        <x:v>OpenAI</x:v>
      </x:c>
      <x:c r="E74" s="26" t="str">
        <x:v>gpt-5.5</x:v>
      </x:c>
      <x:c r="F74" s="28" t="n">
        <x:v>262417390</x:v>
      </x:c>
      <x:c r="G74" s="28" t="n">
        <x:v>6581870</x:v>
      </x:c>
      <x:c r="H74" s="29" t="n">
        <x:f>'Pricing'!$D$7</x:f>
        <x:v>5</x:v>
      </x:c>
      <x:c r="I74" s="30" t="n">
        <x:f>IF($Y74="No public API price","",$G74/'Pricing'!$M$2*$H74)</x:f>
        <x:v>32.90935</x:v>
      </x:c>
      <x:c r="J74" s="28" t="n">
        <x:v>255835520</x:v>
      </x:c>
      <x:c r="K74" s="29" t="n">
        <x:f>'Pricing'!$E$7</x:f>
        <x:v>0.5</x:v>
      </x:c>
      <x:c r="L74" s="30" t="n">
        <x:f>IF($Y74="No public API price","",$J74/'Pricing'!$M$2*$K74)</x:f>
        <x:v>127.91776</x:v>
      </x:c>
      <x:c r="M74" s="28" t="n">
        <x:v>0</x:v>
      </x:c>
      <x:c r="N74" s="29" t="n">
        <x:f>'Pricing'!$F$7</x:f>
        <x:v>0</x:v>
      </x:c>
      <x:c r="O74" s="30" t="n">
        <x:f>IF($Y74="No public API price","",$M74/'Pricing'!$M$2*$N74)</x:f>
        <x:v>0</x:v>
      </x:c>
      <x:c r="P74" s="28" t="n">
        <x:v>0</x:v>
      </x:c>
      <x:c r="Q74" s="29" t="n">
        <x:f>'Pricing'!$G$7</x:f>
        <x:v>0</x:v>
      </x:c>
      <x:c r="R74" s="30" t="n">
        <x:f>IF($Y74="No public API price","",$P74/'Pricing'!$M$2*$Q74)</x:f>
        <x:v>0</x:v>
      </x:c>
      <x:c r="S74" s="28" t="n">
        <x:v>426974</x:v>
      </x:c>
      <x:c r="T74" s="29" t="n">
        <x:f>'Pricing'!$H$7</x:f>
        <x:v>30</x:v>
      </x:c>
      <x:c r="U74" s="30" t="n">
        <x:f>IF($Y74="No public API price","",$S74/'Pricing'!$M$2*$T74)</x:f>
        <x:v>12.80922</x:v>
      </x:c>
      <x:c r="V74" s="28" t="n">
        <x:v>113614</x:v>
      </x:c>
      <x:c r="W74" s="28" t="n">
        <x:v>262844364</x:v>
      </x:c>
      <x:c r="X74" s="30" t="n">
        <x:f>IF($Y74="No public API price","",SUM($I74,$L74,$O74,$R74,$U74))</x:f>
        <x:v>173.63633000000002</x:v>
      </x:c>
      <x:c r="Y74" s="26" t="str">
        <x:f>'Pricing'!$C$7</x:f>
        <x:v>Published</x:v>
      </x:c>
    </x:row>
    <x:row r="75" ht="20" customHeight="1">
      <x:c r="A75" s="25" t="str">
        <x:v>2026-05-24</x:v>
      </x:c>
      <x:c r="B75" s="26" t="str">
        <x:v>May</x:v>
      </x:c>
      <x:c r="C75" s="27" t="n">
        <x:v>2026</x:v>
      </x:c>
      <x:c r="D75" s="26" t="str">
        <x:v>OpenAI</x:v>
      </x:c>
      <x:c r="E75" s="26" t="str">
        <x:v>gpt-5.5</x:v>
      </x:c>
      <x:c r="F75" s="28" t="n">
        <x:v>919079524</x:v>
      </x:c>
      <x:c r="G75" s="28" t="n">
        <x:v>25236196</x:v>
      </x:c>
      <x:c r="H75" s="29" t="n">
        <x:f>'Pricing'!$D$7</x:f>
        <x:v>5</x:v>
      </x:c>
      <x:c r="I75" s="30" t="n">
        <x:f>IF($Y75="No public API price","",$G75/'Pricing'!$M$2*$H75)</x:f>
        <x:v>126.18098</x:v>
      </x:c>
      <x:c r="J75" s="28" t="n">
        <x:v>893843328</x:v>
      </x:c>
      <x:c r="K75" s="29" t="n">
        <x:f>'Pricing'!$E$7</x:f>
        <x:v>0.5</x:v>
      </x:c>
      <x:c r="L75" s="30" t="n">
        <x:f>IF($Y75="No public API price","",$J75/'Pricing'!$M$2*$K75)</x:f>
        <x:v>446.921664</x:v>
      </x:c>
      <x:c r="M75" s="28" t="n">
        <x:v>0</x:v>
      </x:c>
      <x:c r="N75" s="29" t="n">
        <x:f>'Pricing'!$F$7</x:f>
        <x:v>0</x:v>
      </x:c>
      <x:c r="O75" s="30" t="n">
        <x:f>IF($Y75="No public API price","",$M75/'Pricing'!$M$2*$N75)</x:f>
        <x:v>0</x:v>
      </x:c>
      <x:c r="P75" s="28" t="n">
        <x:v>0</x:v>
      </x:c>
      <x:c r="Q75" s="29" t="n">
        <x:f>'Pricing'!$G$7</x:f>
        <x:v>0</x:v>
      </x:c>
      <x:c r="R75" s="30" t="n">
        <x:f>IF($Y75="No public API price","",$P75/'Pricing'!$M$2*$Q75)</x:f>
        <x:v>0</x:v>
      </x:c>
      <x:c r="S75" s="28" t="n">
        <x:v>1645566</x:v>
      </x:c>
      <x:c r="T75" s="29" t="n">
        <x:f>'Pricing'!$H$7</x:f>
        <x:v>30</x:v>
      </x:c>
      <x:c r="U75" s="30" t="n">
        <x:f>IF($Y75="No public API price","",$S75/'Pricing'!$M$2*$T75)</x:f>
        <x:v>49.366980000000005</x:v>
      </x:c>
      <x:c r="V75" s="28" t="n">
        <x:v>524739</x:v>
      </x:c>
      <x:c r="W75" s="28" t="n">
        <x:v>920725090</x:v>
      </x:c>
      <x:c r="X75" s="30" t="n">
        <x:f>IF($Y75="No public API price","",SUM($I75,$L75,$O75,$R75,$U75))</x:f>
        <x:v>622.4696240000001</x:v>
      </x:c>
      <x:c r="Y75" s="26" t="str">
        <x:f>'Pricing'!$C$7</x:f>
        <x:v>Published</x:v>
      </x:c>
    </x:row>
    <x:row r="76" ht="20" customHeight="1">
      <x:c r="A76" s="25" t="str">
        <x:v>2026-05-25</x:v>
      </x:c>
      <x:c r="B76" s="26" t="str">
        <x:v>May</x:v>
      </x:c>
      <x:c r="C76" s="27" t="n">
        <x:v>2026</x:v>
      </x:c>
      <x:c r="D76" s="26" t="str">
        <x:v>OpenAI</x:v>
      </x:c>
      <x:c r="E76" s="26" t="str">
        <x:v>gpt-5.5</x:v>
      </x:c>
      <x:c r="F76" s="28" t="n">
        <x:v>1064090789</x:v>
      </x:c>
      <x:c r="G76" s="28" t="n">
        <x:v>30416805</x:v>
      </x:c>
      <x:c r="H76" s="29" t="n">
        <x:f>'Pricing'!$D$7</x:f>
        <x:v>5</x:v>
      </x:c>
      <x:c r="I76" s="30" t="n">
        <x:f>IF($Y76="No public API price","",$G76/'Pricing'!$M$2*$H76)</x:f>
        <x:v>152.084025</x:v>
      </x:c>
      <x:c r="J76" s="28" t="n">
        <x:v>1033673984</x:v>
      </x:c>
      <x:c r="K76" s="29" t="n">
        <x:f>'Pricing'!$E$7</x:f>
        <x:v>0.5</x:v>
      </x:c>
      <x:c r="L76" s="30" t="n">
        <x:f>IF($Y76="No public API price","",$J76/'Pricing'!$M$2*$K76)</x:f>
        <x:v>516.836992</x:v>
      </x:c>
      <x:c r="M76" s="28" t="n">
        <x:v>0</x:v>
      </x:c>
      <x:c r="N76" s="29" t="n">
        <x:f>'Pricing'!$F$7</x:f>
        <x:v>0</x:v>
      </x:c>
      <x:c r="O76" s="30" t="n">
        <x:f>IF($Y76="No public API price","",$M76/'Pricing'!$M$2*$N76)</x:f>
        <x:v>0</x:v>
      </x:c>
      <x:c r="P76" s="28" t="n">
        <x:v>0</x:v>
      </x:c>
      <x:c r="Q76" s="29" t="n">
        <x:f>'Pricing'!$G$7</x:f>
        <x:v>0</x:v>
      </x:c>
      <x:c r="R76" s="30" t="n">
        <x:f>IF($Y76="No public API price","",$P76/'Pricing'!$M$2*$Q76)</x:f>
        <x:v>0</x:v>
      </x:c>
      <x:c r="S76" s="28" t="n">
        <x:v>2698418</x:v>
      </x:c>
      <x:c r="T76" s="29" t="n">
        <x:f>'Pricing'!$H$7</x:f>
        <x:v>30</x:v>
      </x:c>
      <x:c r="U76" s="30" t="n">
        <x:f>IF($Y76="No public API price","",$S76/'Pricing'!$M$2*$T76)</x:f>
        <x:v>80.95254</x:v>
      </x:c>
      <x:c r="V76" s="28" t="n">
        <x:v>876182</x:v>
      </x:c>
      <x:c r="W76" s="28" t="n">
        <x:v>1066789207</x:v>
      </x:c>
      <x:c r="X76" s="30" t="n">
        <x:f>IF($Y76="No public API price","",SUM($I76,$L76,$O76,$R76,$U76))</x:f>
        <x:v>749.873557</x:v>
      </x:c>
      <x:c r="Y76" s="26" t="str">
        <x:f>'Pricing'!$C$7</x:f>
        <x:v>Published</x:v>
      </x:c>
    </x:row>
    <x:row r="77" ht="20" customHeight="1">
      <x:c r="A77" s="25" t="str">
        <x:v>2026-05-26</x:v>
      </x:c>
      <x:c r="B77" s="26" t="str">
        <x:v>May</x:v>
      </x:c>
      <x:c r="C77" s="27" t="n">
        <x:v>2026</x:v>
      </x:c>
      <x:c r="D77" s="26" t="str">
        <x:v>OpenAI</x:v>
      </x:c>
      <x:c r="E77" s="26" t="str">
        <x:v>gpt-5.5</x:v>
      </x:c>
      <x:c r="F77" s="28" t="n">
        <x:v>59681014</x:v>
      </x:c>
      <x:c r="G77" s="28" t="n">
        <x:v>3061750</x:v>
      </x:c>
      <x:c r="H77" s="29" t="n">
        <x:f>'Pricing'!$D$7</x:f>
        <x:v>5</x:v>
      </x:c>
      <x:c r="I77" s="30" t="n">
        <x:f>IF($Y77="No public API price","",$G77/'Pricing'!$M$2*$H77)</x:f>
        <x:v>15.30875</x:v>
      </x:c>
      <x:c r="J77" s="28" t="n">
        <x:v>56619264</x:v>
      </x:c>
      <x:c r="K77" s="29" t="n">
        <x:f>'Pricing'!$E$7</x:f>
        <x:v>0.5</x:v>
      </x:c>
      <x:c r="L77" s="30" t="n">
        <x:f>IF($Y77="No public API price","",$J77/'Pricing'!$M$2*$K77)</x:f>
        <x:v>28.309632</x:v>
      </x:c>
      <x:c r="M77" s="28" t="n">
        <x:v>0</x:v>
      </x:c>
      <x:c r="N77" s="29" t="n">
        <x:f>'Pricing'!$F$7</x:f>
        <x:v>0</x:v>
      </x:c>
      <x:c r="O77" s="30" t="n">
        <x:f>IF($Y77="No public API price","",$M77/'Pricing'!$M$2*$N77)</x:f>
        <x:v>0</x:v>
      </x:c>
      <x:c r="P77" s="28" t="n">
        <x:v>0</x:v>
      </x:c>
      <x:c r="Q77" s="29" t="n">
        <x:f>'Pricing'!$G$7</x:f>
        <x:v>0</x:v>
      </x:c>
      <x:c r="R77" s="30" t="n">
        <x:f>IF($Y77="No public API price","",$P77/'Pricing'!$M$2*$Q77)</x:f>
        <x:v>0</x:v>
      </x:c>
      <x:c r="S77" s="28" t="n">
        <x:v>327416</x:v>
      </x:c>
      <x:c r="T77" s="29" t="n">
        <x:f>'Pricing'!$H$7</x:f>
        <x:v>30</x:v>
      </x:c>
      <x:c r="U77" s="30" t="n">
        <x:f>IF($Y77="No public API price","",$S77/'Pricing'!$M$2*$T77)</x:f>
        <x:v>9.822479999999999</x:v>
      </x:c>
      <x:c r="V77" s="28" t="n">
        <x:v>147091</x:v>
      </x:c>
      <x:c r="W77" s="28" t="n">
        <x:v>60008430</x:v>
      </x:c>
      <x:c r="X77" s="30" t="n">
        <x:f>IF($Y77="No public API price","",SUM($I77,$L77,$O77,$R77,$U77))</x:f>
        <x:v>53.440861999999996</x:v>
      </x:c>
      <x:c r="Y77" s="26" t="str">
        <x:f>'Pricing'!$C$7</x:f>
        <x:v>Published</x:v>
      </x:c>
    </x:row>
    <x:row r="78" ht="20" customHeight="1">
      <x:c r="A78" s="25" t="str">
        <x:v>2026-05-27</x:v>
      </x:c>
      <x:c r="B78" s="26" t="str">
        <x:v>May</x:v>
      </x:c>
      <x:c r="C78" s="27" t="n">
        <x:v>2026</x:v>
      </x:c>
      <x:c r="D78" s="26" t="str">
        <x:v>OpenAI</x:v>
      </x:c>
      <x:c r="E78" s="26" t="str">
        <x:v>gpt-5.5</x:v>
      </x:c>
      <x:c r="F78" s="28" t="n">
        <x:v>52921085</x:v>
      </x:c>
      <x:c r="G78" s="28" t="n">
        <x:v>3041917</x:v>
      </x:c>
      <x:c r="H78" s="29" t="n">
        <x:f>'Pricing'!$D$7</x:f>
        <x:v>5</x:v>
      </x:c>
      <x:c r="I78" s="30" t="n">
        <x:f>IF($Y78="No public API price","",$G78/'Pricing'!$M$2*$H78)</x:f>
        <x:v>15.209585</x:v>
      </x:c>
      <x:c r="J78" s="28" t="n">
        <x:v>49879168</x:v>
      </x:c>
      <x:c r="K78" s="29" t="n">
        <x:f>'Pricing'!$E$7</x:f>
        <x:v>0.5</x:v>
      </x:c>
      <x:c r="L78" s="30" t="n">
        <x:f>IF($Y78="No public API price","",$J78/'Pricing'!$M$2*$K78)</x:f>
        <x:v>24.939584</x:v>
      </x:c>
      <x:c r="M78" s="28" t="n">
        <x:v>0</x:v>
      </x:c>
      <x:c r="N78" s="29" t="n">
        <x:f>'Pricing'!$F$7</x:f>
        <x:v>0</x:v>
      </x:c>
      <x:c r="O78" s="30" t="n">
        <x:f>IF($Y78="No public API price","",$M78/'Pricing'!$M$2*$N78)</x:f>
        <x:v>0</x:v>
      </x:c>
      <x:c r="P78" s="28" t="n">
        <x:v>0</x:v>
      </x:c>
      <x:c r="Q78" s="29" t="n">
        <x:f>'Pricing'!$G$7</x:f>
        <x:v>0</x:v>
      </x:c>
      <x:c r="R78" s="30" t="n">
        <x:f>IF($Y78="No public API price","",$P78/'Pricing'!$M$2*$Q78)</x:f>
        <x:v>0</x:v>
      </x:c>
      <x:c r="S78" s="28" t="n">
        <x:v>241856</x:v>
      </x:c>
      <x:c r="T78" s="29" t="n">
        <x:f>'Pricing'!$H$7</x:f>
        <x:v>30</x:v>
      </x:c>
      <x:c r="U78" s="30" t="n">
        <x:f>IF($Y78="No public API price","",$S78/'Pricing'!$M$2*$T78)</x:f>
        <x:v>7.25568</x:v>
      </x:c>
      <x:c r="V78" s="28" t="n">
        <x:v>80092</x:v>
      </x:c>
      <x:c r="W78" s="28" t="n">
        <x:v>53162941</x:v>
      </x:c>
      <x:c r="X78" s="30" t="n">
        <x:f>IF($Y78="No public API price","",SUM($I78,$L78,$O78,$R78,$U78))</x:f>
        <x:v>47.404849</x:v>
      </x:c>
      <x:c r="Y78" s="26" t="str">
        <x:f>'Pricing'!$C$7</x:f>
        <x:v>Published</x:v>
      </x:c>
    </x:row>
    <x:row r="79" ht="20" customHeight="1">
      <x:c r="A79" s="25" t="str">
        <x:v>2026-05-28</x:v>
      </x:c>
      <x:c r="B79" s="26" t="str">
        <x:v>May</x:v>
      </x:c>
      <x:c r="C79" s="27" t="n">
        <x:v>2026</x:v>
      </x:c>
      <x:c r="D79" s="26" t="str">
        <x:v>OpenAI</x:v>
      </x:c>
      <x:c r="E79" s="26" t="str">
        <x:v>gpt-5.5</x:v>
      </x:c>
      <x:c r="F79" s="28" t="n">
        <x:v>2825664</x:v>
      </x:c>
      <x:c r="G79" s="28" t="n">
        <x:v>268096</x:v>
      </x:c>
      <x:c r="H79" s="29" t="n">
        <x:f>'Pricing'!$D$7</x:f>
        <x:v>5</x:v>
      </x:c>
      <x:c r="I79" s="30" t="n">
        <x:f>IF($Y79="No public API price","",$G79/'Pricing'!$M$2*$H79)</x:f>
        <x:v>1.34048</x:v>
      </x:c>
      <x:c r="J79" s="28" t="n">
        <x:v>2557568</x:v>
      </x:c>
      <x:c r="K79" s="29" t="n">
        <x:f>'Pricing'!$E$7</x:f>
        <x:v>0.5</x:v>
      </x:c>
      <x:c r="L79" s="30" t="n">
        <x:f>IF($Y79="No public API price","",$J79/'Pricing'!$M$2*$K79)</x:f>
        <x:v>1.278784</x:v>
      </x:c>
      <x:c r="M79" s="28" t="n">
        <x:v>0</x:v>
      </x:c>
      <x:c r="N79" s="29" t="n">
        <x:f>'Pricing'!$F$7</x:f>
        <x:v>0</x:v>
      </x:c>
      <x:c r="O79" s="30" t="n">
        <x:f>IF($Y79="No public API price","",$M79/'Pricing'!$M$2*$N79)</x:f>
        <x:v>0</x:v>
      </x:c>
      <x:c r="P79" s="28" t="n">
        <x:v>0</x:v>
      </x:c>
      <x:c r="Q79" s="29" t="n">
        <x:f>'Pricing'!$G$7</x:f>
        <x:v>0</x:v>
      </x:c>
      <x:c r="R79" s="30" t="n">
        <x:f>IF($Y79="No public API price","",$P79/'Pricing'!$M$2*$Q79)</x:f>
        <x:v>0</x:v>
      </x:c>
      <x:c r="S79" s="28" t="n">
        <x:v>15538</x:v>
      </x:c>
      <x:c r="T79" s="29" t="n">
        <x:f>'Pricing'!$H$7</x:f>
        <x:v>30</x:v>
      </x:c>
      <x:c r="U79" s="30" t="n">
        <x:f>IF($Y79="No public API price","",$S79/'Pricing'!$M$2*$T79)</x:f>
        <x:v>0.46614</x:v>
      </x:c>
      <x:c r="V79" s="28" t="n">
        <x:v>8203</x:v>
      </x:c>
      <x:c r="W79" s="28" t="n">
        <x:v>2841202</x:v>
      </x:c>
      <x:c r="X79" s="30" t="n">
        <x:f>IF($Y79="No public API price","",SUM($I79,$L79,$O79,$R79,$U79))</x:f>
        <x:v>3.0854039999999996</x:v>
      </x:c>
      <x:c r="Y79" s="26" t="str">
        <x:f>'Pricing'!$C$7</x:f>
        <x:v>Published</x:v>
      </x:c>
    </x:row>
    <x:row r="80" ht="20" customHeight="1">
      <x:c r="A80" s="25" t="str">
        <x:v>2026-05-29</x:v>
      </x:c>
      <x:c r="B80" s="26" t="str">
        <x:v>May</x:v>
      </x:c>
      <x:c r="C80" s="27" t="n">
        <x:v>2026</x:v>
      </x:c>
      <x:c r="D80" s="26" t="str">
        <x:v>OpenAI</x:v>
      </x:c>
      <x:c r="E80" s="26" t="str">
        <x:v>gpt-5.5</x:v>
      </x:c>
      <x:c r="F80" s="28" t="n">
        <x:v>43599406</x:v>
      </x:c>
      <x:c r="G80" s="28" t="n">
        <x:v>3046446</x:v>
      </x:c>
      <x:c r="H80" s="29" t="n">
        <x:f>'Pricing'!$D$7</x:f>
        <x:v>5</x:v>
      </x:c>
      <x:c r="I80" s="30" t="n">
        <x:f>IF($Y80="No public API price","",$G80/'Pricing'!$M$2*$H80)</x:f>
        <x:v>15.23223</x:v>
      </x:c>
      <x:c r="J80" s="28" t="n">
        <x:v>40552960</x:v>
      </x:c>
      <x:c r="K80" s="29" t="n">
        <x:f>'Pricing'!$E$7</x:f>
        <x:v>0.5</x:v>
      </x:c>
      <x:c r="L80" s="30" t="n">
        <x:f>IF($Y80="No public API price","",$J80/'Pricing'!$M$2*$K80)</x:f>
        <x:v>20.27648</x:v>
      </x:c>
      <x:c r="M80" s="28" t="n">
        <x:v>0</x:v>
      </x:c>
      <x:c r="N80" s="29" t="n">
        <x:f>'Pricing'!$F$7</x:f>
        <x:v>0</x:v>
      </x:c>
      <x:c r="O80" s="30" t="n">
        <x:f>IF($Y80="No public API price","",$M80/'Pricing'!$M$2*$N80)</x:f>
        <x:v>0</x:v>
      </x:c>
      <x:c r="P80" s="28" t="n">
        <x:v>0</x:v>
      </x:c>
      <x:c r="Q80" s="29" t="n">
        <x:f>'Pricing'!$G$7</x:f>
        <x:v>0</x:v>
      </x:c>
      <x:c r="R80" s="30" t="n">
        <x:f>IF($Y80="No public API price","",$P80/'Pricing'!$M$2*$Q80)</x:f>
        <x:v>0</x:v>
      </x:c>
      <x:c r="S80" s="28" t="n">
        <x:v>274736</x:v>
      </x:c>
      <x:c r="T80" s="29" t="n">
        <x:f>'Pricing'!$H$7</x:f>
        <x:v>30</x:v>
      </x:c>
      <x:c r="U80" s="30" t="n">
        <x:f>IF($Y80="No public API price","",$S80/'Pricing'!$M$2*$T80)</x:f>
        <x:v>8.24208</x:v>
      </x:c>
      <x:c r="V80" s="28" t="n">
        <x:v>159271</x:v>
      </x:c>
      <x:c r="W80" s="28" t="n">
        <x:v>43874142</x:v>
      </x:c>
      <x:c r="X80" s="30" t="n">
        <x:f>IF($Y80="No public API price","",SUM($I80,$L80,$O80,$R80,$U80))</x:f>
        <x:v>43.75079</x:v>
      </x:c>
      <x:c r="Y80" s="26" t="str">
        <x:f>'Pricing'!$C$7</x:f>
        <x:v>Published</x:v>
      </x:c>
    </x:row>
    <x:row r="81" ht="20" customHeight="1">
      <x:c r="A81" s="25" t="str">
        <x:v>2026-05-30</x:v>
      </x:c>
      <x:c r="B81" s="26" t="str">
        <x:v>May</x:v>
      </x:c>
      <x:c r="C81" s="27" t="n">
        <x:v>2026</x:v>
      </x:c>
      <x:c r="D81" s="26" t="str">
        <x:v>OpenAI</x:v>
      </x:c>
      <x:c r="E81" s="26" t="str">
        <x:v>gpt-5.5</x:v>
      </x:c>
      <x:c r="F81" s="28" t="n">
        <x:v>2016897</x:v>
      </x:c>
      <x:c r="G81" s="28" t="n">
        <x:v>328193</x:v>
      </x:c>
      <x:c r="H81" s="29" t="n">
        <x:f>'Pricing'!$D$7</x:f>
        <x:v>5</x:v>
      </x:c>
      <x:c r="I81" s="30" t="n">
        <x:f>IF($Y81="No public API price","",$G81/'Pricing'!$M$2*$H81)</x:f>
        <x:v>1.640965</x:v>
      </x:c>
      <x:c r="J81" s="28" t="n">
        <x:v>1688704</x:v>
      </x:c>
      <x:c r="K81" s="29" t="n">
        <x:f>'Pricing'!$E$7</x:f>
        <x:v>0.5</x:v>
      </x:c>
      <x:c r="L81" s="30" t="n">
        <x:f>IF($Y81="No public API price","",$J81/'Pricing'!$M$2*$K81)</x:f>
        <x:v>0.844352</x:v>
      </x:c>
      <x:c r="M81" s="28" t="n">
        <x:v>0</x:v>
      </x:c>
      <x:c r="N81" s="29" t="n">
        <x:f>'Pricing'!$F$7</x:f>
        <x:v>0</x:v>
      </x:c>
      <x:c r="O81" s="30" t="n">
        <x:f>IF($Y81="No public API price","",$M81/'Pricing'!$M$2*$N81)</x:f>
        <x:v>0</x:v>
      </x:c>
      <x:c r="P81" s="28" t="n">
        <x:v>0</x:v>
      </x:c>
      <x:c r="Q81" s="29" t="n">
        <x:f>'Pricing'!$G$7</x:f>
        <x:v>0</x:v>
      </x:c>
      <x:c r="R81" s="30" t="n">
        <x:f>IF($Y81="No public API price","",$P81/'Pricing'!$M$2*$Q81)</x:f>
        <x:v>0</x:v>
      </x:c>
      <x:c r="S81" s="28" t="n">
        <x:v>8346</x:v>
      </x:c>
      <x:c r="T81" s="29" t="n">
        <x:f>'Pricing'!$H$7</x:f>
        <x:v>30</x:v>
      </x:c>
      <x:c r="U81" s="30" t="n">
        <x:f>IF($Y81="No public API price","",$S81/'Pricing'!$M$2*$T81)</x:f>
        <x:v>0.25038</x:v>
      </x:c>
      <x:c r="V81" s="28" t="n">
        <x:v>1486</x:v>
      </x:c>
      <x:c r="W81" s="28" t="n">
        <x:v>2025243</x:v>
      </x:c>
      <x:c r="X81" s="30" t="n">
        <x:f>IF($Y81="No public API price","",SUM($I81,$L81,$O81,$R81,$U81))</x:f>
        <x:v>2.735697</x:v>
      </x:c>
      <x:c r="Y81" s="26" t="str">
        <x:f>'Pricing'!$C$7</x:f>
        <x:v>Published</x:v>
      </x:c>
    </x:row>
    <x:row r="82" ht="20" customHeight="1">
      <x:c r="A82" s="25" t="str">
        <x:v>2026-05-31</x:v>
      </x:c>
      <x:c r="B82" s="26" t="str">
        <x:v>May</x:v>
      </x:c>
      <x:c r="C82" s="27" t="n">
        <x:v>2026</x:v>
      </x:c>
      <x:c r="D82" s="26" t="str">
        <x:v>OpenAI</x:v>
      </x:c>
      <x:c r="E82" s="26" t="str">
        <x:v>gpt-5.5</x:v>
      </x:c>
      <x:c r="F82" s="28" t="n">
        <x:v>2102947</x:v>
      </x:c>
      <x:c r="G82" s="28" t="n">
        <x:v>340259</x:v>
      </x:c>
      <x:c r="H82" s="29" t="n">
        <x:f>'Pricing'!$D$7</x:f>
        <x:v>5</x:v>
      </x:c>
      <x:c r="I82" s="30" t="n">
        <x:f>IF($Y82="No public API price","",$G82/'Pricing'!$M$2*$H82)</x:f>
        <x:v>1.701295</x:v>
      </x:c>
      <x:c r="J82" s="28" t="n">
        <x:v>1762688</x:v>
      </x:c>
      <x:c r="K82" s="29" t="n">
        <x:f>'Pricing'!$E$7</x:f>
        <x:v>0.5</x:v>
      </x:c>
      <x:c r="L82" s="30" t="n">
        <x:f>IF($Y82="No public API price","",$J82/'Pricing'!$M$2*$K82)</x:f>
        <x:v>0.881344</x:v>
      </x:c>
      <x:c r="M82" s="28" t="n">
        <x:v>0</x:v>
      </x:c>
      <x:c r="N82" s="29" t="n">
        <x:f>'Pricing'!$F$7</x:f>
        <x:v>0</x:v>
      </x:c>
      <x:c r="O82" s="30" t="n">
        <x:f>IF($Y82="No public API price","",$M82/'Pricing'!$M$2*$N82)</x:f>
        <x:v>0</x:v>
      </x:c>
      <x:c r="P82" s="28" t="n">
        <x:v>0</x:v>
      </x:c>
      <x:c r="Q82" s="29" t="n">
        <x:f>'Pricing'!$G$7</x:f>
        <x:v>0</x:v>
      </x:c>
      <x:c r="R82" s="30" t="n">
        <x:f>IF($Y82="No public API price","",$P82/'Pricing'!$M$2*$Q82)</x:f>
        <x:v>0</x:v>
      </x:c>
      <x:c r="S82" s="28" t="n">
        <x:v>3209</x:v>
      </x:c>
      <x:c r="T82" s="29" t="n">
        <x:f>'Pricing'!$H$7</x:f>
        <x:v>30</x:v>
      </x:c>
      <x:c r="U82" s="30" t="n">
        <x:f>IF($Y82="No public API price","",$S82/'Pricing'!$M$2*$T82)</x:f>
        <x:v>0.09627</x:v>
      </x:c>
      <x:c r="V82" s="28" t="n">
        <x:v>718</x:v>
      </x:c>
      <x:c r="W82" s="28" t="n">
        <x:v>2106156</x:v>
      </x:c>
      <x:c r="X82" s="30" t="n">
        <x:f>IF($Y82="No public API price","",SUM($I82,$L82,$O82,$R82,$U82))</x:f>
        <x:v>2.678909</x:v>
      </x:c>
      <x:c r="Y82" s="26" t="str">
        <x:f>'Pricing'!$C$7</x:f>
        <x:v>Published</x:v>
      </x:c>
    </x:row>
    <x:row r="83" ht="20" customHeight="1">
      <x:c r="A83" s="25" t="str">
        <x:v>2026-06-01</x:v>
      </x:c>
      <x:c r="B83" s="26" t="str">
        <x:v>June</x:v>
      </x:c>
      <x:c r="C83" s="27" t="n">
        <x:v>2026</x:v>
      </x:c>
      <x:c r="D83" s="26" t="str">
        <x:v>OpenAI</x:v>
      </x:c>
      <x:c r="E83" s="26" t="str">
        <x:v>gpt-5.5</x:v>
      </x:c>
      <x:c r="F83" s="28" t="n">
        <x:v>9534310</x:v>
      </x:c>
      <x:c r="G83" s="28" t="n">
        <x:v>937446</x:v>
      </x:c>
      <x:c r="H83" s="29" t="n">
        <x:f>'Pricing'!$D$7</x:f>
        <x:v>5</x:v>
      </x:c>
      <x:c r="I83" s="30" t="n">
        <x:f>IF($Y83="No public API price","",$G83/'Pricing'!$M$2*$H83)</x:f>
        <x:v>4.68723</x:v>
      </x:c>
      <x:c r="J83" s="28" t="n">
        <x:v>8596864</x:v>
      </x:c>
      <x:c r="K83" s="29" t="n">
        <x:f>'Pricing'!$E$7</x:f>
        <x:v>0.5</x:v>
      </x:c>
      <x:c r="L83" s="30" t="n">
        <x:f>IF($Y83="No public API price","",$J83/'Pricing'!$M$2*$K83)</x:f>
        <x:v>4.298432</x:v>
      </x:c>
      <x:c r="M83" s="28" t="n">
        <x:v>0</x:v>
      </x:c>
      <x:c r="N83" s="29" t="n">
        <x:f>'Pricing'!$F$7</x:f>
        <x:v>0</x:v>
      </x:c>
      <x:c r="O83" s="30" t="n">
        <x:f>IF($Y83="No public API price","",$M83/'Pricing'!$M$2*$N83)</x:f>
        <x:v>0</x:v>
      </x:c>
      <x:c r="P83" s="28" t="n">
        <x:v>0</x:v>
      </x:c>
      <x:c r="Q83" s="29" t="n">
        <x:f>'Pricing'!$G$7</x:f>
        <x:v>0</x:v>
      </x:c>
      <x:c r="R83" s="30" t="n">
        <x:f>IF($Y83="No public API price","",$P83/'Pricing'!$M$2*$Q83)</x:f>
        <x:v>0</x:v>
      </x:c>
      <x:c r="S83" s="28" t="n">
        <x:v>38832</x:v>
      </x:c>
      <x:c r="T83" s="29" t="n">
        <x:f>'Pricing'!$H$7</x:f>
        <x:v>30</x:v>
      </x:c>
      <x:c r="U83" s="30" t="n">
        <x:f>IF($Y83="No public API price","",$S83/'Pricing'!$M$2*$T83)</x:f>
        <x:v>1.16496</x:v>
      </x:c>
      <x:c r="V83" s="28" t="n">
        <x:v>13735</x:v>
      </x:c>
      <x:c r="W83" s="28" t="n">
        <x:v>9573142</x:v>
      </x:c>
      <x:c r="X83" s="30" t="n">
        <x:f>IF($Y83="No public API price","",SUM($I83,$L83,$O83,$R83,$U83))</x:f>
        <x:v>10.150622</x:v>
      </x:c>
      <x:c r="Y83" s="26" t="str">
        <x:f>'Pricing'!$C$7</x:f>
        <x:v>Published</x:v>
      </x:c>
    </x:row>
    <x:row r="84" ht="20" customHeight="1">
      <x:c r="A84" s="25" t="str">
        <x:v>2026-06-05</x:v>
      </x:c>
      <x:c r="B84" s="26" t="str">
        <x:v>June</x:v>
      </x:c>
      <x:c r="C84" s="27" t="n">
        <x:v>2026</x:v>
      </x:c>
      <x:c r="D84" s="26" t="str">
        <x:v>OpenAI</x:v>
      </x:c>
      <x:c r="E84" s="26" t="str">
        <x:v>gpt-5.5</x:v>
      </x:c>
      <x:c r="F84" s="28" t="n">
        <x:v>339934467</x:v>
      </x:c>
      <x:c r="G84" s="28" t="n">
        <x:v>7017475</x:v>
      </x:c>
      <x:c r="H84" s="29" t="n">
        <x:f>'Pricing'!$D$7</x:f>
        <x:v>5</x:v>
      </x:c>
      <x:c r="I84" s="30" t="n">
        <x:f>IF($Y84="No public API price","",$G84/'Pricing'!$M$2*$H84)</x:f>
        <x:v>35.087375</x:v>
      </x:c>
      <x:c r="J84" s="28" t="n">
        <x:v>332916992</x:v>
      </x:c>
      <x:c r="K84" s="29" t="n">
        <x:f>'Pricing'!$E$7</x:f>
        <x:v>0.5</x:v>
      </x:c>
      <x:c r="L84" s="30" t="n">
        <x:f>IF($Y84="No public API price","",$J84/'Pricing'!$M$2*$K84)</x:f>
        <x:v>166.458496</x:v>
      </x:c>
      <x:c r="M84" s="28" t="n">
        <x:v>0</x:v>
      </x:c>
      <x:c r="N84" s="29" t="n">
        <x:f>'Pricing'!$F$7</x:f>
        <x:v>0</x:v>
      </x:c>
      <x:c r="O84" s="30" t="n">
        <x:f>IF($Y84="No public API price","",$M84/'Pricing'!$M$2*$N84)</x:f>
        <x:v>0</x:v>
      </x:c>
      <x:c r="P84" s="28" t="n">
        <x:v>0</x:v>
      </x:c>
      <x:c r="Q84" s="29" t="n">
        <x:f>'Pricing'!$G$7</x:f>
        <x:v>0</x:v>
      </x:c>
      <x:c r="R84" s="30" t="n">
        <x:f>IF($Y84="No public API price","",$P84/'Pricing'!$M$2*$Q84)</x:f>
        <x:v>0</x:v>
      </x:c>
      <x:c r="S84" s="28" t="n">
        <x:v>546084</x:v>
      </x:c>
      <x:c r="T84" s="29" t="n">
        <x:f>'Pricing'!$H$7</x:f>
        <x:v>30</x:v>
      </x:c>
      <x:c r="U84" s="30" t="n">
        <x:f>IF($Y84="No public API price","",$S84/'Pricing'!$M$2*$T84)</x:f>
        <x:v>16.38252</x:v>
      </x:c>
      <x:c r="V84" s="28" t="n">
        <x:v>119023</x:v>
      </x:c>
      <x:c r="W84" s="28" t="n">
        <x:v>340480551</x:v>
      </x:c>
      <x:c r="X84" s="30" t="n">
        <x:f>IF($Y84="No public API price","",SUM($I84,$L84,$O84,$R84,$U84))</x:f>
        <x:v>217.928391</x:v>
      </x:c>
      <x:c r="Y84" s="26" t="str">
        <x:f>'Pricing'!$C$7</x:f>
        <x:v>Published</x:v>
      </x:c>
    </x:row>
    <x:row r="85" ht="20" customHeight="1">
      <x:c r="A85" s="25" t="str">
        <x:v>2026-06-08</x:v>
      </x:c>
      <x:c r="B85" s="26" t="str">
        <x:v>June</x:v>
      </x:c>
      <x:c r="C85" s="27" t="n">
        <x:v>2026</x:v>
      </x:c>
      <x:c r="D85" s="26" t="str">
        <x:v>OpenAI</x:v>
      </x:c>
      <x:c r="E85" s="26" t="str">
        <x:v>gpt-5.5</x:v>
      </x:c>
      <x:c r="F85" s="28" t="n">
        <x:v>119388170</x:v>
      </x:c>
      <x:c r="G85" s="28" t="n">
        <x:v>4325002</x:v>
      </x:c>
      <x:c r="H85" s="29" t="n">
        <x:f>'Pricing'!$D$7</x:f>
        <x:v>5</x:v>
      </x:c>
      <x:c r="I85" s="30" t="n">
        <x:f>IF($Y85="No public API price","",$G85/'Pricing'!$M$2*$H85)</x:f>
        <x:v>21.625009999999996</x:v>
      </x:c>
      <x:c r="J85" s="28" t="n">
        <x:v>115063168</x:v>
      </x:c>
      <x:c r="K85" s="29" t="n">
        <x:f>'Pricing'!$E$7</x:f>
        <x:v>0.5</x:v>
      </x:c>
      <x:c r="L85" s="30" t="n">
        <x:f>IF($Y85="No public API price","",$J85/'Pricing'!$M$2*$K85)</x:f>
        <x:v>57.531584</x:v>
      </x:c>
      <x:c r="M85" s="28" t="n">
        <x:v>0</x:v>
      </x:c>
      <x:c r="N85" s="29" t="n">
        <x:f>'Pricing'!$F$7</x:f>
        <x:v>0</x:v>
      </x:c>
      <x:c r="O85" s="30" t="n">
        <x:f>IF($Y85="No public API price","",$M85/'Pricing'!$M$2*$N85)</x:f>
        <x:v>0</x:v>
      </x:c>
      <x:c r="P85" s="28" t="n">
        <x:v>0</x:v>
      </x:c>
      <x:c r="Q85" s="29" t="n">
        <x:f>'Pricing'!$G$7</x:f>
        <x:v>0</x:v>
      </x:c>
      <x:c r="R85" s="30" t="n">
        <x:f>IF($Y85="No public API price","",$P85/'Pricing'!$M$2*$Q85)</x:f>
        <x:v>0</x:v>
      </x:c>
      <x:c r="S85" s="28" t="n">
        <x:v>338018</x:v>
      </x:c>
      <x:c r="T85" s="29" t="n">
        <x:f>'Pricing'!$H$7</x:f>
        <x:v>30</x:v>
      </x:c>
      <x:c r="U85" s="30" t="n">
        <x:f>IF($Y85="No public API price","",$S85/'Pricing'!$M$2*$T85)</x:f>
        <x:v>10.14054</x:v>
      </x:c>
      <x:c r="V85" s="28" t="n">
        <x:v>73336</x:v>
      </x:c>
      <x:c r="W85" s="28" t="n">
        <x:v>119726188</x:v>
      </x:c>
      <x:c r="X85" s="30" t="n">
        <x:f>IF($Y85="No public API price","",SUM($I85,$L85,$O85,$R85,$U85))</x:f>
        <x:v>89.297134</x:v>
      </x:c>
      <x:c r="Y85" s="26" t="str">
        <x:f>'Pricing'!$C$7</x:f>
        <x:v>Published</x:v>
      </x:c>
    </x:row>
    <x:row r="86" ht="20" customHeight="1">
      <x:c r="A86" s="25" t="str">
        <x:v>2026-06-09</x:v>
      </x:c>
      <x:c r="B86" s="26" t="str">
        <x:v>June</x:v>
      </x:c>
      <x:c r="C86" s="27" t="n">
        <x:v>2026</x:v>
      </x:c>
      <x:c r="D86" s="26" t="str">
        <x:v>OpenAI</x:v>
      </x:c>
      <x:c r="E86" s="26" t="str">
        <x:v>gpt-5.5</x:v>
      </x:c>
      <x:c r="F86" s="28" t="n">
        <x:v>83923514</x:v>
      </x:c>
      <x:c r="G86" s="28" t="n">
        <x:v>3868730</x:v>
      </x:c>
      <x:c r="H86" s="29" t="n">
        <x:f>'Pricing'!$D$7</x:f>
        <x:v>5</x:v>
      </x:c>
      <x:c r="I86" s="30" t="n">
        <x:f>IF($Y86="No public API price","",$G86/'Pricing'!$M$2*$H86)</x:f>
        <x:v>19.34365</x:v>
      </x:c>
      <x:c r="J86" s="28" t="n">
        <x:v>80054784</x:v>
      </x:c>
      <x:c r="K86" s="29" t="n">
        <x:f>'Pricing'!$E$7</x:f>
        <x:v>0.5</x:v>
      </x:c>
      <x:c r="L86" s="30" t="n">
        <x:f>IF($Y86="No public API price","",$J86/'Pricing'!$M$2*$K86)</x:f>
        <x:v>40.027392</x:v>
      </x:c>
      <x:c r="M86" s="28" t="n">
        <x:v>0</x:v>
      </x:c>
      <x:c r="N86" s="29" t="n">
        <x:f>'Pricing'!$F$7</x:f>
        <x:v>0</x:v>
      </x:c>
      <x:c r="O86" s="30" t="n">
        <x:f>IF($Y86="No public API price","",$M86/'Pricing'!$M$2*$N86)</x:f>
        <x:v>0</x:v>
      </x:c>
      <x:c r="P86" s="28" t="n">
        <x:v>0</x:v>
      </x:c>
      <x:c r="Q86" s="29" t="n">
        <x:f>'Pricing'!$G$7</x:f>
        <x:v>0</x:v>
      </x:c>
      <x:c r="R86" s="30" t="n">
        <x:f>IF($Y86="No public API price","",$P86/'Pricing'!$M$2*$Q86)</x:f>
        <x:v>0</x:v>
      </x:c>
      <x:c r="S86" s="28" t="n">
        <x:v>235954</x:v>
      </x:c>
      <x:c r="T86" s="29" t="n">
        <x:f>'Pricing'!$H$7</x:f>
        <x:v>30</x:v>
      </x:c>
      <x:c r="U86" s="30" t="n">
        <x:f>IF($Y86="No public API price","",$S86/'Pricing'!$M$2*$T86)</x:f>
        <x:v>7.07862</x:v>
      </x:c>
      <x:c r="V86" s="28" t="n">
        <x:v>53671</x:v>
      </x:c>
      <x:c r="W86" s="28" t="n">
        <x:v>84159468</x:v>
      </x:c>
      <x:c r="X86" s="30" t="n">
        <x:f>IF($Y86="No public API price","",SUM($I86,$L86,$O86,$R86,$U86))</x:f>
        <x:v>66.449662</x:v>
      </x:c>
      <x:c r="Y86" s="26" t="str">
        <x:f>'Pricing'!$C$7</x:f>
        <x:v>Published</x:v>
      </x:c>
    </x:row>
    <x:row r="87" ht="20" customHeight="1">
      <x:c r="A87" s="25" t="str">
        <x:v>2026-06-10</x:v>
      </x:c>
      <x:c r="B87" s="26" t="str">
        <x:v>June</x:v>
      </x:c>
      <x:c r="C87" s="27" t="n">
        <x:v>2026</x:v>
      </x:c>
      <x:c r="D87" s="26" t="str">
        <x:v>OpenAI</x:v>
      </x:c>
      <x:c r="E87" s="26" t="str">
        <x:v>gpt-5.5</x:v>
      </x:c>
      <x:c r="F87" s="28" t="n">
        <x:v>76230533</x:v>
      </x:c>
      <x:c r="G87" s="28" t="n">
        <x:v>4197893</x:v>
      </x:c>
      <x:c r="H87" s="29" t="n">
        <x:f>'Pricing'!$D$7</x:f>
        <x:v>5</x:v>
      </x:c>
      <x:c r="I87" s="30" t="n">
        <x:f>IF($Y87="No public API price","",$G87/'Pricing'!$M$2*$H87)</x:f>
        <x:v>20.989465</x:v>
      </x:c>
      <x:c r="J87" s="28" t="n">
        <x:v>72032640</x:v>
      </x:c>
      <x:c r="K87" s="29" t="n">
        <x:f>'Pricing'!$E$7</x:f>
        <x:v>0.5</x:v>
      </x:c>
      <x:c r="L87" s="30" t="n">
        <x:f>IF($Y87="No public API price","",$J87/'Pricing'!$M$2*$K87)</x:f>
        <x:v>36.01632</x:v>
      </x:c>
      <x:c r="M87" s="28" t="n">
        <x:v>0</x:v>
      </x:c>
      <x:c r="N87" s="29" t="n">
        <x:f>'Pricing'!$F$7</x:f>
        <x:v>0</x:v>
      </x:c>
      <x:c r="O87" s="30" t="n">
        <x:f>IF($Y87="No public API price","",$M87/'Pricing'!$M$2*$N87)</x:f>
        <x:v>0</x:v>
      </x:c>
      <x:c r="P87" s="28" t="n">
        <x:v>0</x:v>
      </x:c>
      <x:c r="Q87" s="29" t="n">
        <x:f>'Pricing'!$G$7</x:f>
        <x:v>0</x:v>
      </x:c>
      <x:c r="R87" s="30" t="n">
        <x:f>IF($Y87="No public API price","",$P87/'Pricing'!$M$2*$Q87)</x:f>
        <x:v>0</x:v>
      </x:c>
      <x:c r="S87" s="28" t="n">
        <x:v>251370</x:v>
      </x:c>
      <x:c r="T87" s="29" t="n">
        <x:f>'Pricing'!$H$7</x:f>
        <x:v>30</x:v>
      </x:c>
      <x:c r="U87" s="30" t="n">
        <x:f>IF($Y87="No public API price","",$S87/'Pricing'!$M$2*$T87)</x:f>
        <x:v>7.541099999999999</x:v>
      </x:c>
      <x:c r="V87" s="28" t="n">
        <x:v>58403</x:v>
      </x:c>
      <x:c r="W87" s="28" t="n">
        <x:v>76481903</x:v>
      </x:c>
      <x:c r="X87" s="30" t="n">
        <x:f>IF($Y87="No public API price","",SUM($I87,$L87,$O87,$R87,$U87))</x:f>
        <x:v>64.546885</x:v>
      </x:c>
      <x:c r="Y87" s="26" t="str">
        <x:f>'Pricing'!$C$7</x:f>
        <x:v>Published</x:v>
      </x:c>
    </x:row>
    <x:row r="88" ht="20" customHeight="1">
      <x:c r="A88" s="25" t="str">
        <x:v>2026-06-11</x:v>
      </x:c>
      <x:c r="B88" s="26" t="str">
        <x:v>June</x:v>
      </x:c>
      <x:c r="C88" s="27" t="n">
        <x:v>2026</x:v>
      </x:c>
      <x:c r="D88" s="26" t="str">
        <x:v>OpenAI</x:v>
      </x:c>
      <x:c r="E88" s="26" t="str">
        <x:v>gpt-5.5</x:v>
      </x:c>
      <x:c r="F88" s="28" t="n">
        <x:v>146741328</x:v>
      </x:c>
      <x:c r="G88" s="28" t="n">
        <x:v>7610320</x:v>
      </x:c>
      <x:c r="H88" s="29" t="n">
        <x:f>'Pricing'!$D$7</x:f>
        <x:v>5</x:v>
      </x:c>
      <x:c r="I88" s="30" t="n">
        <x:f>IF($Y88="No public API price","",$G88/'Pricing'!$M$2*$H88)</x:f>
        <x:v>38.0516</x:v>
      </x:c>
      <x:c r="J88" s="28" t="n">
        <x:v>139131008</x:v>
      </x:c>
      <x:c r="K88" s="29" t="n">
        <x:f>'Pricing'!$E$7</x:f>
        <x:v>0.5</x:v>
      </x:c>
      <x:c r="L88" s="30" t="n">
        <x:f>IF($Y88="No public API price","",$J88/'Pricing'!$M$2*$K88)</x:f>
        <x:v>69.565504</x:v>
      </x:c>
      <x:c r="M88" s="28" t="n">
        <x:v>0</x:v>
      </x:c>
      <x:c r="N88" s="29" t="n">
        <x:f>'Pricing'!$F$7</x:f>
        <x:v>0</x:v>
      </x:c>
      <x:c r="O88" s="30" t="n">
        <x:f>IF($Y88="No public API price","",$M88/'Pricing'!$M$2*$N88)</x:f>
        <x:v>0</x:v>
      </x:c>
      <x:c r="P88" s="28" t="n">
        <x:v>0</x:v>
      </x:c>
      <x:c r="Q88" s="29" t="n">
        <x:f>'Pricing'!$G$7</x:f>
        <x:v>0</x:v>
      </x:c>
      <x:c r="R88" s="30" t="n">
        <x:f>IF($Y88="No public API price","",$P88/'Pricing'!$M$2*$Q88)</x:f>
        <x:v>0</x:v>
      </x:c>
      <x:c r="S88" s="28" t="n">
        <x:v>471223</x:v>
      </x:c>
      <x:c r="T88" s="29" t="n">
        <x:f>'Pricing'!$H$7</x:f>
        <x:v>30</x:v>
      </x:c>
      <x:c r="U88" s="30" t="n">
        <x:f>IF($Y88="No public API price","",$S88/'Pricing'!$M$2*$T88)</x:f>
        <x:v>14.13669</x:v>
      </x:c>
      <x:c r="V88" s="28" t="n">
        <x:v>133557</x:v>
      </x:c>
      <x:c r="W88" s="28" t="n">
        <x:v>147212551</x:v>
      </x:c>
      <x:c r="X88" s="30" t="n">
        <x:f>IF($Y88="No public API price","",SUM($I88,$L88,$O88,$R88,$U88))</x:f>
        <x:v>121.75379400000001</x:v>
      </x:c>
      <x:c r="Y88" s="26" t="str">
        <x:f>'Pricing'!$C$7</x:f>
        <x:v>Published</x:v>
      </x:c>
    </x:row>
    <x:row r="89" ht="20" customHeight="1">
      <x:c r="A89" s="25" t="str">
        <x:v>2026-06-12</x:v>
      </x:c>
      <x:c r="B89" s="26" t="str">
        <x:v>June</x:v>
      </x:c>
      <x:c r="C89" s="27" t="n">
        <x:v>2026</x:v>
      </x:c>
      <x:c r="D89" s="26" t="str">
        <x:v>OpenAI</x:v>
      </x:c>
      <x:c r="E89" s="26" t="str">
        <x:v>gpt-5.5</x:v>
      </x:c>
      <x:c r="F89" s="28" t="n">
        <x:v>348742863</x:v>
      </x:c>
      <x:c r="G89" s="28" t="n">
        <x:v>22394063</x:v>
      </x:c>
      <x:c r="H89" s="29" t="n">
        <x:f>'Pricing'!$D$7</x:f>
        <x:v>5</x:v>
      </x:c>
      <x:c r="I89" s="30" t="n">
        <x:f>IF($Y89="No public API price","",$G89/'Pricing'!$M$2*$H89)</x:f>
        <x:v>111.970315</x:v>
      </x:c>
      <x:c r="J89" s="28" t="n">
        <x:v>326348800</x:v>
      </x:c>
      <x:c r="K89" s="29" t="n">
        <x:f>'Pricing'!$E$7</x:f>
        <x:v>0.5</x:v>
      </x:c>
      <x:c r="L89" s="30" t="n">
        <x:f>IF($Y89="No public API price","",$J89/'Pricing'!$M$2*$K89)</x:f>
        <x:v>163.1744</x:v>
      </x:c>
      <x:c r="M89" s="28" t="n">
        <x:v>0</x:v>
      </x:c>
      <x:c r="N89" s="29" t="n">
        <x:f>'Pricing'!$F$7</x:f>
        <x:v>0</x:v>
      </x:c>
      <x:c r="O89" s="30" t="n">
        <x:f>IF($Y89="No public API price","",$M89/'Pricing'!$M$2*$N89)</x:f>
        <x:v>0</x:v>
      </x:c>
      <x:c r="P89" s="28" t="n">
        <x:v>0</x:v>
      </x:c>
      <x:c r="Q89" s="29" t="n">
        <x:f>'Pricing'!$G$7</x:f>
        <x:v>0</x:v>
      </x:c>
      <x:c r="R89" s="30" t="n">
        <x:f>IF($Y89="No public API price","",$P89/'Pricing'!$M$2*$Q89)</x:f>
        <x:v>0</x:v>
      </x:c>
      <x:c r="S89" s="28" t="n">
        <x:v>917314</x:v>
      </x:c>
      <x:c r="T89" s="29" t="n">
        <x:f>'Pricing'!$H$7</x:f>
        <x:v>30</x:v>
      </x:c>
      <x:c r="U89" s="30" t="n">
        <x:f>IF($Y89="No public API price","",$S89/'Pricing'!$M$2*$T89)</x:f>
        <x:v>27.51942</x:v>
      </x:c>
      <x:c r="V89" s="28" t="n">
        <x:v>246699</x:v>
      </x:c>
      <x:c r="W89" s="28" t="n">
        <x:v>349660177</x:v>
      </x:c>
      <x:c r="X89" s="30" t="n">
        <x:f>IF($Y89="No public API price","",SUM($I89,$L89,$O89,$R89,$U89))</x:f>
        <x:v>302.66413500000004</x:v>
      </x:c>
      <x:c r="Y89" s="26" t="str">
        <x:f>'Pricing'!$C$7</x:f>
        <x:v>Published</x:v>
      </x:c>
    </x:row>
    <x:row r="90" ht="20" customHeight="1">
      <x:c r="A90" s="25" t="str">
        <x:v>2026-06-13</x:v>
      </x:c>
      <x:c r="B90" s="26" t="str">
        <x:v>June</x:v>
      </x:c>
      <x:c r="C90" s="27" t="n">
        <x:v>2026</x:v>
      </x:c>
      <x:c r="D90" s="26" t="str">
        <x:v>OpenAI</x:v>
      </x:c>
      <x:c r="E90" s="26" t="str">
        <x:v>gpt-5.5</x:v>
      </x:c>
      <x:c r="F90" s="28" t="n">
        <x:v>10663904</x:v>
      </x:c>
      <x:c r="G90" s="28" t="n">
        <x:v>1693408</x:v>
      </x:c>
      <x:c r="H90" s="29" t="n">
        <x:f>'Pricing'!$D$7</x:f>
        <x:v>5</x:v>
      </x:c>
      <x:c r="I90" s="30" t="n">
        <x:f>IF($Y90="No public API price","",$G90/'Pricing'!$M$2*$H90)</x:f>
        <x:v>8.46704</x:v>
      </x:c>
      <x:c r="J90" s="28" t="n">
        <x:v>8970496</x:v>
      </x:c>
      <x:c r="K90" s="29" t="n">
        <x:f>'Pricing'!$E$7</x:f>
        <x:v>0.5</x:v>
      </x:c>
      <x:c r="L90" s="30" t="n">
        <x:f>IF($Y90="No public API price","",$J90/'Pricing'!$M$2*$K90)</x:f>
        <x:v>4.485248</x:v>
      </x:c>
      <x:c r="M90" s="28" t="n">
        <x:v>0</x:v>
      </x:c>
      <x:c r="N90" s="29" t="n">
        <x:f>'Pricing'!$F$7</x:f>
        <x:v>0</x:v>
      </x:c>
      <x:c r="O90" s="30" t="n">
        <x:f>IF($Y90="No public API price","",$M90/'Pricing'!$M$2*$N90)</x:f>
        <x:v>0</x:v>
      </x:c>
      <x:c r="P90" s="28" t="n">
        <x:v>0</x:v>
      </x:c>
      <x:c r="Q90" s="29" t="n">
        <x:f>'Pricing'!$G$7</x:f>
        <x:v>0</x:v>
      </x:c>
      <x:c r="R90" s="30" t="n">
        <x:f>IF($Y90="No public API price","",$P90/'Pricing'!$M$2*$Q90)</x:f>
        <x:v>0</x:v>
      </x:c>
      <x:c r="S90" s="28" t="n">
        <x:v>70016</x:v>
      </x:c>
      <x:c r="T90" s="29" t="n">
        <x:f>'Pricing'!$H$7</x:f>
        <x:v>30</x:v>
      </x:c>
      <x:c r="U90" s="30" t="n">
        <x:f>IF($Y90="No public API price","",$S90/'Pricing'!$M$2*$T90)</x:f>
        <x:v>2.1004799999999997</x:v>
      </x:c>
      <x:c r="V90" s="28" t="n">
        <x:v>25772</x:v>
      </x:c>
      <x:c r="W90" s="28" t="n">
        <x:v>10733920</x:v>
      </x:c>
      <x:c r="X90" s="30" t="n">
        <x:f>IF($Y90="No public API price","",SUM($I90,$L90,$O90,$R90,$U90))</x:f>
        <x:v>15.052768</x:v>
      </x:c>
      <x:c r="Y90" s="26" t="str">
        <x:f>'Pricing'!$C$7</x:f>
        <x:v>Published</x:v>
      </x:c>
    </x:row>
    <x:row r="91" ht="20" customHeight="1">
      <x:c r="A91" s="25" t="str">
        <x:v>2026-06-15</x:v>
      </x:c>
      <x:c r="B91" s="26" t="str">
        <x:v>June</x:v>
      </x:c>
      <x:c r="C91" s="27" t="n">
        <x:v>2026</x:v>
      </x:c>
      <x:c r="D91" s="26" t="str">
        <x:v>OpenAI</x:v>
      </x:c>
      <x:c r="E91" s="26" t="str">
        <x:v>gpt-5.5</x:v>
      </x:c>
      <x:c r="F91" s="28" t="n">
        <x:v>293132259</x:v>
      </x:c>
      <x:c r="G91" s="28" t="n">
        <x:v>20379747</x:v>
      </x:c>
      <x:c r="H91" s="29" t="n">
        <x:f>'Pricing'!$D$7</x:f>
        <x:v>5</x:v>
      </x:c>
      <x:c r="I91" s="30" t="n">
        <x:f>IF($Y91="No public API price","",$G91/'Pricing'!$M$2*$H91)</x:f>
        <x:v>101.89873499999999</x:v>
      </x:c>
      <x:c r="J91" s="28" t="n">
        <x:v>272752512</x:v>
      </x:c>
      <x:c r="K91" s="29" t="n">
        <x:f>'Pricing'!$E$7</x:f>
        <x:v>0.5</x:v>
      </x:c>
      <x:c r="L91" s="30" t="n">
        <x:f>IF($Y91="No public API price","",$J91/'Pricing'!$M$2*$K91)</x:f>
        <x:v>136.376256</x:v>
      </x:c>
      <x:c r="M91" s="28" t="n">
        <x:v>0</x:v>
      </x:c>
      <x:c r="N91" s="29" t="n">
        <x:f>'Pricing'!$F$7</x:f>
        <x:v>0</x:v>
      </x:c>
      <x:c r="O91" s="30" t="n">
        <x:f>IF($Y91="No public API price","",$M91/'Pricing'!$M$2*$N91)</x:f>
        <x:v>0</x:v>
      </x:c>
      <x:c r="P91" s="28" t="n">
        <x:v>0</x:v>
      </x:c>
      <x:c r="Q91" s="29" t="n">
        <x:f>'Pricing'!$G$7</x:f>
        <x:v>0</x:v>
      </x:c>
      <x:c r="R91" s="30" t="n">
        <x:f>IF($Y91="No public API price","",$P91/'Pricing'!$M$2*$Q91)</x:f>
        <x:v>0</x:v>
      </x:c>
      <x:c r="S91" s="28" t="n">
        <x:v>1028010</x:v>
      </x:c>
      <x:c r="T91" s="29" t="n">
        <x:f>'Pricing'!$H$7</x:f>
        <x:v>30</x:v>
      </x:c>
      <x:c r="U91" s="30" t="n">
        <x:f>IF($Y91="No public API price","",$S91/'Pricing'!$M$2*$T91)</x:f>
        <x:v>30.840300000000003</x:v>
      </x:c>
      <x:c r="V91" s="28" t="n">
        <x:v>306022</x:v>
      </x:c>
      <x:c r="W91" s="28" t="n">
        <x:v>294160269</x:v>
      </x:c>
      <x:c r="X91" s="30" t="n">
        <x:f>IF($Y91="No public API price","",SUM($I91,$L91,$O91,$R91,$U91))</x:f>
        <x:v>269.115291</x:v>
      </x:c>
      <x:c r="Y91" s="26" t="str">
        <x:f>'Pricing'!$C$7</x:f>
        <x:v>Published</x:v>
      </x:c>
    </x:row>
    <x:row r="92" ht="20" customHeight="1">
      <x:c r="A92" s="25" t="str">
        <x:v>2026-06-16</x:v>
      </x:c>
      <x:c r="B92" s="26" t="str">
        <x:v>June</x:v>
      </x:c>
      <x:c r="C92" s="27" t="n">
        <x:v>2026</x:v>
      </x:c>
      <x:c r="D92" s="26" t="str">
        <x:v>OpenAI</x:v>
      </x:c>
      <x:c r="E92" s="26" t="str">
        <x:v>gpt-5.5</x:v>
      </x:c>
      <x:c r="F92" s="28" t="n">
        <x:v>739234234</x:v>
      </x:c>
      <x:c r="G92" s="28" t="n">
        <x:v>37919674</x:v>
      </x:c>
      <x:c r="H92" s="29" t="n">
        <x:f>'Pricing'!$D$7</x:f>
        <x:v>5</x:v>
      </x:c>
      <x:c r="I92" s="30" t="n">
        <x:f>IF($Y92="No public API price","",$G92/'Pricing'!$M$2*$H92)</x:f>
        <x:v>189.59837</x:v>
      </x:c>
      <x:c r="J92" s="28" t="n">
        <x:v>701314560</x:v>
      </x:c>
      <x:c r="K92" s="29" t="n">
        <x:f>'Pricing'!$E$7</x:f>
        <x:v>0.5</x:v>
      </x:c>
      <x:c r="L92" s="30" t="n">
        <x:f>IF($Y92="No public API price","",$J92/'Pricing'!$M$2*$K92)</x:f>
        <x:v>350.65728</x:v>
      </x:c>
      <x:c r="M92" s="28" t="n">
        <x:v>0</x:v>
      </x:c>
      <x:c r="N92" s="29" t="n">
        <x:f>'Pricing'!$F$7</x:f>
        <x:v>0</x:v>
      </x:c>
      <x:c r="O92" s="30" t="n">
        <x:f>IF($Y92="No public API price","",$M92/'Pricing'!$M$2*$N92)</x:f>
        <x:v>0</x:v>
      </x:c>
      <x:c r="P92" s="28" t="n">
        <x:v>0</x:v>
      </x:c>
      <x:c r="Q92" s="29" t="n">
        <x:f>'Pricing'!$G$7</x:f>
        <x:v>0</x:v>
      </x:c>
      <x:c r="R92" s="30" t="n">
        <x:f>IF($Y92="No public API price","",$P92/'Pricing'!$M$2*$Q92)</x:f>
        <x:v>0</x:v>
      </x:c>
      <x:c r="S92" s="28" t="n">
        <x:v>2273032</x:v>
      </x:c>
      <x:c r="T92" s="29" t="n">
        <x:f>'Pricing'!$H$7</x:f>
        <x:v>30</x:v>
      </x:c>
      <x:c r="U92" s="30" t="n">
        <x:f>IF($Y92="No public API price","",$S92/'Pricing'!$M$2*$T92)</x:f>
        <x:v>68.19096</x:v>
      </x:c>
      <x:c r="V92" s="28" t="n">
        <x:v>740893</x:v>
      </x:c>
      <x:c r="W92" s="28" t="n">
        <x:v>741507266</x:v>
      </x:c>
      <x:c r="X92" s="30" t="n">
        <x:f>IF($Y92="No public API price","",SUM($I92,$L92,$O92,$R92,$U92))</x:f>
        <x:v>608.4466100000001</x:v>
      </x:c>
      <x:c r="Y92" s="26" t="str">
        <x:f>'Pricing'!$C$7</x:f>
        <x:v>Published</x:v>
      </x:c>
    </x:row>
    <x:row r="93" ht="20" customHeight="1">
      <x:c r="A93" s="25" t="str">
        <x:v>2026-06-17</x:v>
      </x:c>
      <x:c r="B93" s="26" t="str">
        <x:v>June</x:v>
      </x:c>
      <x:c r="C93" s="27" t="n">
        <x:v>2026</x:v>
      </x:c>
      <x:c r="D93" s="26" t="str">
        <x:v>OpenAI</x:v>
      </x:c>
      <x:c r="E93" s="26" t="str">
        <x:v>gpt-5.5</x:v>
      </x:c>
      <x:c r="F93" s="28" t="n">
        <x:v>786798519</x:v>
      </x:c>
      <x:c r="G93" s="28" t="n">
        <x:v>39658295</x:v>
      </x:c>
      <x:c r="H93" s="29" t="n">
        <x:f>'Pricing'!$D$7</x:f>
        <x:v>5</x:v>
      </x:c>
      <x:c r="I93" s="30" t="n">
        <x:f>IF($Y93="No public API price","",$G93/'Pricing'!$M$2*$H93)</x:f>
        <x:v>198.29147500000002</x:v>
      </x:c>
      <x:c r="J93" s="28" t="n">
        <x:v>747140224</x:v>
      </x:c>
      <x:c r="K93" s="29" t="n">
        <x:f>'Pricing'!$E$7</x:f>
        <x:v>0.5</x:v>
      </x:c>
      <x:c r="L93" s="30" t="n">
        <x:f>IF($Y93="No public API price","",$J93/'Pricing'!$M$2*$K93)</x:f>
        <x:v>373.570112</x:v>
      </x:c>
      <x:c r="M93" s="28" t="n">
        <x:v>0</x:v>
      </x:c>
      <x:c r="N93" s="29" t="n">
        <x:f>'Pricing'!$F$7</x:f>
        <x:v>0</x:v>
      </x:c>
      <x:c r="O93" s="30" t="n">
        <x:f>IF($Y93="No public API price","",$M93/'Pricing'!$M$2*$N93)</x:f>
        <x:v>0</x:v>
      </x:c>
      <x:c r="P93" s="28" t="n">
        <x:v>0</x:v>
      </x:c>
      <x:c r="Q93" s="29" t="n">
        <x:f>'Pricing'!$G$7</x:f>
        <x:v>0</x:v>
      </x:c>
      <x:c r="R93" s="30" t="n">
        <x:f>IF($Y93="No public API price","",$P93/'Pricing'!$M$2*$Q93)</x:f>
        <x:v>0</x:v>
      </x:c>
      <x:c r="S93" s="28" t="n">
        <x:v>2515572</x:v>
      </x:c>
      <x:c r="T93" s="29" t="n">
        <x:f>'Pricing'!$H$7</x:f>
        <x:v>30</x:v>
      </x:c>
      <x:c r="U93" s="30" t="n">
        <x:f>IF($Y93="No public API price","",$S93/'Pricing'!$M$2*$T93)</x:f>
        <x:v>75.46716</x:v>
      </x:c>
      <x:c r="V93" s="28" t="n">
        <x:v>717552</x:v>
      </x:c>
      <x:c r="W93" s="28" t="n">
        <x:v>789314091</x:v>
      </x:c>
      <x:c r="X93" s="30" t="n">
        <x:f>IF($Y93="No public API price","",SUM($I93,$L93,$O93,$R93,$U93))</x:f>
        <x:v>647.328747</x:v>
      </x:c>
      <x:c r="Y93" s="26" t="str">
        <x:f>'Pricing'!$C$7</x:f>
        <x:v>Published</x:v>
      </x:c>
    </x:row>
    <x:row r="94" ht="20" customHeight="1">
      <x:c r="A94" s="25" t="str">
        <x:v>2026-06-18</x:v>
      </x:c>
      <x:c r="B94" s="26" t="str">
        <x:v>June</x:v>
      </x:c>
      <x:c r="C94" s="27" t="n">
        <x:v>2026</x:v>
      </x:c>
      <x:c r="D94" s="26" t="str">
        <x:v>OpenAI</x:v>
      </x:c>
      <x:c r="E94" s="26" t="str">
        <x:v>gpt-5.5</x:v>
      </x:c>
      <x:c r="F94" s="28" t="n">
        <x:v>630295035</x:v>
      </x:c>
      <x:c r="G94" s="28" t="n">
        <x:v>30672763</x:v>
      </x:c>
      <x:c r="H94" s="29" t="n">
        <x:f>'Pricing'!$D$7</x:f>
        <x:v>5</x:v>
      </x:c>
      <x:c r="I94" s="30" t="n">
        <x:f>IF($Y94="No public API price","",$G94/'Pricing'!$M$2*$H94)</x:f>
        <x:v>153.363815</x:v>
      </x:c>
      <x:c r="J94" s="28" t="n">
        <x:v>599622272</x:v>
      </x:c>
      <x:c r="K94" s="29" t="n">
        <x:f>'Pricing'!$E$7</x:f>
        <x:v>0.5</x:v>
      </x:c>
      <x:c r="L94" s="30" t="n">
        <x:f>IF($Y94="No public API price","",$J94/'Pricing'!$M$2*$K94)</x:f>
        <x:v>299.811136</x:v>
      </x:c>
      <x:c r="M94" s="28" t="n">
        <x:v>0</x:v>
      </x:c>
      <x:c r="N94" s="29" t="n">
        <x:f>'Pricing'!$F$7</x:f>
        <x:v>0</x:v>
      </x:c>
      <x:c r="O94" s="30" t="n">
        <x:f>IF($Y94="No public API price","",$M94/'Pricing'!$M$2*$N94)</x:f>
        <x:v>0</x:v>
      </x:c>
      <x:c r="P94" s="28" t="n">
        <x:v>0</x:v>
      </x:c>
      <x:c r="Q94" s="29" t="n">
        <x:f>'Pricing'!$G$7</x:f>
        <x:v>0</x:v>
      </x:c>
      <x:c r="R94" s="30" t="n">
        <x:f>IF($Y94="No public API price","",$P94/'Pricing'!$M$2*$Q94)</x:f>
        <x:v>0</x:v>
      </x:c>
      <x:c r="S94" s="28" t="n">
        <x:v>1748376</x:v>
      </x:c>
      <x:c r="T94" s="29" t="n">
        <x:f>'Pricing'!$H$7</x:f>
        <x:v>30</x:v>
      </x:c>
      <x:c r="U94" s="30" t="n">
        <x:f>IF($Y94="No public API price","",$S94/'Pricing'!$M$2*$T94)</x:f>
        <x:v>52.45128</x:v>
      </x:c>
      <x:c r="V94" s="28" t="n">
        <x:v>585278</x:v>
      </x:c>
      <x:c r="W94" s="28" t="n">
        <x:v>632043411</x:v>
      </x:c>
      <x:c r="X94" s="30" t="n">
        <x:f>IF($Y94="No public API price","",SUM($I94,$L94,$O94,$R94,$U94))</x:f>
        <x:v>505.62623099999996</x:v>
      </x:c>
      <x:c r="Y94" s="26" t="str">
        <x:f>'Pricing'!$C$7</x:f>
        <x:v>Published</x:v>
      </x:c>
    </x:row>
    <x:row r="95" ht="20" customHeight="1">
      <x:c r="A95" s="25" t="str">
        <x:v>2026-06-19</x:v>
      </x:c>
      <x:c r="B95" s="26" t="str">
        <x:v>June</x:v>
      </x:c>
      <x:c r="C95" s="27" t="n">
        <x:v>2026</x:v>
      </x:c>
      <x:c r="D95" s="26" t="str">
        <x:v>OpenAI</x:v>
      </x:c>
      <x:c r="E95" s="26" t="str">
        <x:v>gpt-5.5</x:v>
      </x:c>
      <x:c r="F95" s="28" t="n">
        <x:v>413673209</x:v>
      </x:c>
      <x:c r="G95" s="28" t="n">
        <x:v>23029241</x:v>
      </x:c>
      <x:c r="H95" s="29" t="n">
        <x:f>'Pricing'!$D$7</x:f>
        <x:v>5</x:v>
      </x:c>
      <x:c r="I95" s="30" t="n">
        <x:f>IF($Y95="No public API price","",$G95/'Pricing'!$M$2*$H95)</x:f>
        <x:v>115.146205</x:v>
      </x:c>
      <x:c r="J95" s="28" t="n">
        <x:v>390643968</x:v>
      </x:c>
      <x:c r="K95" s="29" t="n">
        <x:f>'Pricing'!$E$7</x:f>
        <x:v>0.5</x:v>
      </x:c>
      <x:c r="L95" s="30" t="n">
        <x:f>IF($Y95="No public API price","",$J95/'Pricing'!$M$2*$K95)</x:f>
        <x:v>195.321984</x:v>
      </x:c>
      <x:c r="M95" s="28" t="n">
        <x:v>0</x:v>
      </x:c>
      <x:c r="N95" s="29" t="n">
        <x:f>'Pricing'!$F$7</x:f>
        <x:v>0</x:v>
      </x:c>
      <x:c r="O95" s="30" t="n">
        <x:f>IF($Y95="No public API price","",$M95/'Pricing'!$M$2*$N95)</x:f>
        <x:v>0</x:v>
      </x:c>
      <x:c r="P95" s="28" t="n">
        <x:v>0</x:v>
      </x:c>
      <x:c r="Q95" s="29" t="n">
        <x:f>'Pricing'!$G$7</x:f>
        <x:v>0</x:v>
      </x:c>
      <x:c r="R95" s="30" t="n">
        <x:f>IF($Y95="No public API price","",$P95/'Pricing'!$M$2*$Q95)</x:f>
        <x:v>0</x:v>
      </x:c>
      <x:c r="S95" s="28" t="n">
        <x:v>1383718</x:v>
      </x:c>
      <x:c r="T95" s="29" t="n">
        <x:f>'Pricing'!$H$7</x:f>
        <x:v>30</x:v>
      </x:c>
      <x:c r="U95" s="30" t="n">
        <x:f>IF($Y95="No public API price","",$S95/'Pricing'!$M$2*$T95)</x:f>
        <x:v>41.51154</x:v>
      </x:c>
      <x:c r="V95" s="28" t="n">
        <x:v>471761</x:v>
      </x:c>
      <x:c r="W95" s="28" t="n">
        <x:v>415056927</x:v>
      </x:c>
      <x:c r="X95" s="30" t="n">
        <x:f>IF($Y95="No public API price","",SUM($I95,$L95,$O95,$R95,$U95))</x:f>
        <x:v>351.979729</x:v>
      </x:c>
      <x:c r="Y95" s="26" t="str">
        <x:f>'Pricing'!$C$7</x:f>
        <x:v>Published</x:v>
      </x:c>
    </x:row>
    <x:row r="96" ht="20" customHeight="1">
      <x:c r="A96" s="25" t="str">
        <x:v>2026-06-20</x:v>
      </x:c>
      <x:c r="B96" s="26" t="str">
        <x:v>June</x:v>
      </x:c>
      <x:c r="C96" s="27" t="n">
        <x:v>2026</x:v>
      </x:c>
      <x:c r="D96" s="26" t="str">
        <x:v>OpenAI</x:v>
      </x:c>
      <x:c r="E96" s="26" t="str">
        <x:v>gpt-5.5</x:v>
      </x:c>
      <x:c r="F96" s="28" t="n">
        <x:v>901145646</x:v>
      </x:c>
      <x:c r="G96" s="28" t="n">
        <x:v>43675566</x:v>
      </x:c>
      <x:c r="H96" s="29" t="n">
        <x:f>'Pricing'!$D$7</x:f>
        <x:v>5</x:v>
      </x:c>
      <x:c r="I96" s="30" t="n">
        <x:f>IF($Y96="No public API price","",$G96/'Pricing'!$M$2*$H96)</x:f>
        <x:v>218.37783000000002</x:v>
      </x:c>
      <x:c r="J96" s="28" t="n">
        <x:v>857470080</x:v>
      </x:c>
      <x:c r="K96" s="29" t="n">
        <x:f>'Pricing'!$E$7</x:f>
        <x:v>0.5</x:v>
      </x:c>
      <x:c r="L96" s="30" t="n">
        <x:f>IF($Y96="No public API price","",$J96/'Pricing'!$M$2*$K96)</x:f>
        <x:v>428.73504</x:v>
      </x:c>
      <x:c r="M96" s="28" t="n">
        <x:v>0</x:v>
      </x:c>
      <x:c r="N96" s="29" t="n">
        <x:f>'Pricing'!$F$7</x:f>
        <x:v>0</x:v>
      </x:c>
      <x:c r="O96" s="30" t="n">
        <x:f>IF($Y96="No public API price","",$M96/'Pricing'!$M$2*$N96)</x:f>
        <x:v>0</x:v>
      </x:c>
      <x:c r="P96" s="28" t="n">
        <x:v>0</x:v>
      </x:c>
      <x:c r="Q96" s="29" t="n">
        <x:f>'Pricing'!$G$7</x:f>
        <x:v>0</x:v>
      </x:c>
      <x:c r="R96" s="30" t="n">
        <x:f>IF($Y96="No public API price","",$P96/'Pricing'!$M$2*$Q96)</x:f>
        <x:v>0</x:v>
      </x:c>
      <x:c r="S96" s="28" t="n">
        <x:v>2631674</x:v>
      </x:c>
      <x:c r="T96" s="29" t="n">
        <x:f>'Pricing'!$H$7</x:f>
        <x:v>30</x:v>
      </x:c>
      <x:c r="U96" s="30" t="n">
        <x:f>IF($Y96="No public API price","",$S96/'Pricing'!$M$2*$T96)</x:f>
        <x:v>78.95022</x:v>
      </x:c>
      <x:c r="V96" s="28" t="n">
        <x:v>847256</x:v>
      </x:c>
      <x:c r="W96" s="28" t="n">
        <x:v>903777320</x:v>
      </x:c>
      <x:c r="X96" s="30" t="n">
        <x:f>IF($Y96="No public API price","",SUM($I96,$L96,$O96,$R96,$U96))</x:f>
        <x:v>726.0630900000001</x:v>
      </x:c>
      <x:c r="Y96" s="26" t="str">
        <x:f>'Pricing'!$C$7</x:f>
        <x:v>Published</x:v>
      </x:c>
    </x:row>
    <x:row r="97" ht="20" customHeight="1">
      <x:c r="A97" s="25" t="str">
        <x:v>2026-06-21</x:v>
      </x:c>
      <x:c r="B97" s="26" t="str">
        <x:v>June</x:v>
      </x:c>
      <x:c r="C97" s="27" t="n">
        <x:v>2026</x:v>
      </x:c>
      <x:c r="D97" s="26" t="str">
        <x:v>OpenAI</x:v>
      </x:c>
      <x:c r="E97" s="26" t="str">
        <x:v>gpt-5.5</x:v>
      </x:c>
      <x:c r="F97" s="28" t="n">
        <x:v>2008136120</x:v>
      </x:c>
      <x:c r="G97" s="28" t="n">
        <x:v>93443768</x:v>
      </x:c>
      <x:c r="H97" s="29" t="n">
        <x:f>'Pricing'!$D$7</x:f>
        <x:v>5</x:v>
      </x:c>
      <x:c r="I97" s="30" t="n">
        <x:f>IF($Y97="No public API price","",$G97/'Pricing'!$M$2*$H97)</x:f>
        <x:v>467.21884</x:v>
      </x:c>
      <x:c r="J97" s="28" t="n">
        <x:v>1914692352</x:v>
      </x:c>
      <x:c r="K97" s="29" t="n">
        <x:f>'Pricing'!$E$7</x:f>
        <x:v>0.5</x:v>
      </x:c>
      <x:c r="L97" s="30" t="n">
        <x:f>IF($Y97="No public API price","",$J97/'Pricing'!$M$2*$K97)</x:f>
        <x:v>957.346176</x:v>
      </x:c>
      <x:c r="M97" s="28" t="n">
        <x:v>0</x:v>
      </x:c>
      <x:c r="N97" s="29" t="n">
        <x:f>'Pricing'!$F$7</x:f>
        <x:v>0</x:v>
      </x:c>
      <x:c r="O97" s="30" t="n">
        <x:f>IF($Y97="No public API price","",$M97/'Pricing'!$M$2*$N97)</x:f>
        <x:v>0</x:v>
      </x:c>
      <x:c r="P97" s="28" t="n">
        <x:v>0</x:v>
      </x:c>
      <x:c r="Q97" s="29" t="n">
        <x:f>'Pricing'!$G$7</x:f>
        <x:v>0</x:v>
      </x:c>
      <x:c r="R97" s="30" t="n">
        <x:f>IF($Y97="No public API price","",$P97/'Pricing'!$M$2*$Q97)</x:f>
        <x:v>0</x:v>
      </x:c>
      <x:c r="S97" s="28" t="n">
        <x:v>5044530</x:v>
      </x:c>
      <x:c r="T97" s="29" t="n">
        <x:f>'Pricing'!$H$7</x:f>
        <x:v>30</x:v>
      </x:c>
      <x:c r="U97" s="30" t="n">
        <x:f>IF($Y97="No public API price","",$S97/'Pricing'!$M$2*$T97)</x:f>
        <x:v>151.3359</x:v>
      </x:c>
      <x:c r="V97" s="28" t="n">
        <x:v>1422934</x:v>
      </x:c>
      <x:c r="W97" s="28" t="n">
        <x:v>2013180650</x:v>
      </x:c>
      <x:c r="X97" s="30" t="n">
        <x:f>IF($Y97="No public API price","",SUM($I97,$L97,$O97,$R97,$U97))</x:f>
        <x:v>1575.900916</x:v>
      </x:c>
      <x:c r="Y97" s="26" t="str">
        <x:f>'Pricing'!$C$7</x:f>
        <x:v>Published</x:v>
      </x:c>
    </x:row>
    <x:row r="98" ht="20" customHeight="1">
      <x:c r="A98" s="25" t="str">
        <x:v>2026-06-22</x:v>
      </x:c>
      <x:c r="B98" s="26" t="str">
        <x:v>June</x:v>
      </x:c>
      <x:c r="C98" s="27" t="n">
        <x:v>2026</x:v>
      </x:c>
      <x:c r="D98" s="26" t="str">
        <x:v>OpenAI</x:v>
      </x:c>
      <x:c r="E98" s="26" t="str">
        <x:v>gpt-5.5</x:v>
      </x:c>
      <x:c r="F98" s="28" t="n">
        <x:v>2287813657</x:v>
      </x:c>
      <x:c r="G98" s="28" t="n">
        <x:v>103171097</x:v>
      </x:c>
      <x:c r="H98" s="29" t="n">
        <x:f>'Pricing'!$D$7</x:f>
        <x:v>5</x:v>
      </x:c>
      <x:c r="I98" s="30" t="n">
        <x:f>IF($Y98="No public API price","",$G98/'Pricing'!$M$2*$H98)</x:f>
        <x:v>515.855485</x:v>
      </x:c>
      <x:c r="J98" s="28" t="n">
        <x:v>2184642560</x:v>
      </x:c>
      <x:c r="K98" s="29" t="n">
        <x:f>'Pricing'!$E$7</x:f>
        <x:v>0.5</x:v>
      </x:c>
      <x:c r="L98" s="30" t="n">
        <x:f>IF($Y98="No public API price","",$J98/'Pricing'!$M$2*$K98)</x:f>
        <x:v>1092.32128</x:v>
      </x:c>
      <x:c r="M98" s="28" t="n">
        <x:v>0</x:v>
      </x:c>
      <x:c r="N98" s="29" t="n">
        <x:f>'Pricing'!$F$7</x:f>
        <x:v>0</x:v>
      </x:c>
      <x:c r="O98" s="30" t="n">
        <x:f>IF($Y98="No public API price","",$M98/'Pricing'!$M$2*$N98)</x:f>
        <x:v>0</x:v>
      </x:c>
      <x:c r="P98" s="28" t="n">
        <x:v>0</x:v>
      </x:c>
      <x:c r="Q98" s="29" t="n">
        <x:f>'Pricing'!$G$7</x:f>
        <x:v>0</x:v>
      </x:c>
      <x:c r="R98" s="30" t="n">
        <x:f>IF($Y98="No public API price","",$P98/'Pricing'!$M$2*$Q98)</x:f>
        <x:v>0</x:v>
      </x:c>
      <x:c r="S98" s="28" t="n">
        <x:v>5621066</x:v>
      </x:c>
      <x:c r="T98" s="29" t="n">
        <x:f>'Pricing'!$H$7</x:f>
        <x:v>30</x:v>
      </x:c>
      <x:c r="U98" s="30" t="n">
        <x:f>IF($Y98="No public API price","",$S98/'Pricing'!$M$2*$T98)</x:f>
        <x:v>168.63198</x:v>
      </x:c>
      <x:c r="V98" s="28" t="n">
        <x:v>1604048</x:v>
      </x:c>
      <x:c r="W98" s="28" t="n">
        <x:v>2293434723</x:v>
      </x:c>
      <x:c r="X98" s="30" t="n">
        <x:f>IF($Y98="No public API price","",SUM($I98,$L98,$O98,$R98,$U98))</x:f>
        <x:v>1776.8087449999998</x:v>
      </x:c>
      <x:c r="Y98" s="26" t="str">
        <x:f>'Pricing'!$C$7</x:f>
        <x:v>Published</x:v>
      </x:c>
    </x:row>
    <x:row r="99" ht="20" customHeight="1">
      <x:c r="A99" s="25" t="str">
        <x:v>2026-06-23</x:v>
      </x:c>
      <x:c r="B99" s="26" t="str">
        <x:v>June</x:v>
      </x:c>
      <x:c r="C99" s="27" t="n">
        <x:v>2026</x:v>
      </x:c>
      <x:c r="D99" s="26" t="str">
        <x:v>OpenAI</x:v>
      </x:c>
      <x:c r="E99" s="26" t="str">
        <x:v>gpt-5.5</x:v>
      </x:c>
      <x:c r="F99" s="28" t="n">
        <x:v>412302692</x:v>
      </x:c>
      <x:c r="G99" s="28" t="n">
        <x:v>22736868</x:v>
      </x:c>
      <x:c r="H99" s="29" t="n">
        <x:f>'Pricing'!$D$7</x:f>
        <x:v>5</x:v>
      </x:c>
      <x:c r="I99" s="30" t="n">
        <x:f>IF($Y99="No public API price","",$G99/'Pricing'!$M$2*$H99)</x:f>
        <x:v>113.68434</x:v>
      </x:c>
      <x:c r="J99" s="28" t="n">
        <x:v>389565824</x:v>
      </x:c>
      <x:c r="K99" s="29" t="n">
        <x:f>'Pricing'!$E$7</x:f>
        <x:v>0.5</x:v>
      </x:c>
      <x:c r="L99" s="30" t="n">
        <x:f>IF($Y99="No public API price","",$J99/'Pricing'!$M$2*$K99)</x:f>
        <x:v>194.782912</x:v>
      </x:c>
      <x:c r="M99" s="28" t="n">
        <x:v>0</x:v>
      </x:c>
      <x:c r="N99" s="29" t="n">
        <x:f>'Pricing'!$F$7</x:f>
        <x:v>0</x:v>
      </x:c>
      <x:c r="O99" s="30" t="n">
        <x:f>IF($Y99="No public API price","",$M99/'Pricing'!$M$2*$N99)</x:f>
        <x:v>0</x:v>
      </x:c>
      <x:c r="P99" s="28" t="n">
        <x:v>0</x:v>
      </x:c>
      <x:c r="Q99" s="29" t="n">
        <x:f>'Pricing'!$G$7</x:f>
        <x:v>0</x:v>
      </x:c>
      <x:c r="R99" s="30" t="n">
        <x:f>IF($Y99="No public API price","",$P99/'Pricing'!$M$2*$Q99)</x:f>
        <x:v>0</x:v>
      </x:c>
      <x:c r="S99" s="28" t="n">
        <x:v>1135887</x:v>
      </x:c>
      <x:c r="T99" s="29" t="n">
        <x:f>'Pricing'!$H$7</x:f>
        <x:v>30</x:v>
      </x:c>
      <x:c r="U99" s="30" t="n">
        <x:f>IF($Y99="No public API price","",$S99/'Pricing'!$M$2*$T99)</x:f>
        <x:v>34.07661</x:v>
      </x:c>
      <x:c r="V99" s="28" t="n">
        <x:v>368765</x:v>
      </x:c>
      <x:c r="W99" s="28" t="n">
        <x:v>413438579</x:v>
      </x:c>
      <x:c r="X99" s="30" t="n">
        <x:f>IF($Y99="No public API price","",SUM($I99,$L99,$O99,$R99,$U99))</x:f>
        <x:v>342.54386200000005</x:v>
      </x:c>
      <x:c r="Y99" s="26" t="str">
        <x:f>'Pricing'!$C$7</x:f>
        <x:v>Published</x:v>
      </x:c>
    </x:row>
    <x:row r="100" ht="20" customHeight="1">
      <x:c r="A100" s="25" t="str">
        <x:v>2026-06-24</x:v>
      </x:c>
      <x:c r="B100" s="26" t="str">
        <x:v>June</x:v>
      </x:c>
      <x:c r="C100" s="27" t="n">
        <x:v>2026</x:v>
      </x:c>
      <x:c r="D100" s="26" t="str">
        <x:v>OpenAI</x:v>
      </x:c>
      <x:c r="E100" s="26" t="str">
        <x:v>gpt-5.5</x:v>
      </x:c>
      <x:c r="F100" s="28" t="n">
        <x:v>11695363691</x:v>
      </x:c>
      <x:c r="G100" s="28" t="n">
        <x:v>512702699</x:v>
      </x:c>
      <x:c r="H100" s="29" t="n">
        <x:f>'Pricing'!$D$7</x:f>
        <x:v>5</x:v>
      </x:c>
      <x:c r="I100" s="30" t="n">
        <x:f>IF($Y100="No public API price","",$G100/'Pricing'!$M$2*$H100)</x:f>
        <x:v>2563.513495</x:v>
      </x:c>
      <x:c r="J100" s="28" t="n">
        <x:v>11182660992</x:v>
      </x:c>
      <x:c r="K100" s="29" t="n">
        <x:f>'Pricing'!$E$7</x:f>
        <x:v>0.5</x:v>
      </x:c>
      <x:c r="L100" s="30" t="n">
        <x:f>IF($Y100="No public API price","",$J100/'Pricing'!$M$2*$K100)</x:f>
        <x:v>5591.330496</x:v>
      </x:c>
      <x:c r="M100" s="28" t="n">
        <x:v>0</x:v>
      </x:c>
      <x:c r="N100" s="29" t="n">
        <x:f>'Pricing'!$F$7</x:f>
        <x:v>0</x:v>
      </x:c>
      <x:c r="O100" s="30" t="n">
        <x:f>IF($Y100="No public API price","",$M100/'Pricing'!$M$2*$N100)</x:f>
        <x:v>0</x:v>
      </x:c>
      <x:c r="P100" s="28" t="n">
        <x:v>0</x:v>
      </x:c>
      <x:c r="Q100" s="29" t="n">
        <x:f>'Pricing'!$G$7</x:f>
        <x:v>0</x:v>
      </x:c>
      <x:c r="R100" s="30" t="n">
        <x:f>IF($Y100="No public API price","",$P100/'Pricing'!$M$2*$Q100)</x:f>
        <x:v>0</x:v>
      </x:c>
      <x:c r="S100" s="28" t="n">
        <x:v>26874856</x:v>
      </x:c>
      <x:c r="T100" s="29" t="n">
        <x:f>'Pricing'!$H$7</x:f>
        <x:v>30</x:v>
      </x:c>
      <x:c r="U100" s="30" t="n">
        <x:f>IF($Y100="No public API price","",$S100/'Pricing'!$M$2*$T100)</x:f>
        <x:v>806.24568</x:v>
      </x:c>
      <x:c r="V100" s="28" t="n">
        <x:v>7392579</x:v>
      </x:c>
      <x:c r="W100" s="28" t="n">
        <x:v>11722238547</x:v>
      </x:c>
      <x:c r="X100" s="30" t="n">
        <x:f>IF($Y100="No public API price","",SUM($I100,$L100,$O100,$R100,$U100))</x:f>
        <x:v>8961.089671</x:v>
      </x:c>
      <x:c r="Y100" s="26" t="str">
        <x:f>'Pricing'!$C$7</x:f>
        <x:v>Published</x:v>
      </x:c>
    </x:row>
    <x:row r="101" ht="20" customHeight="1">
      <x:c r="A101" s="25" t="str">
        <x:v>2026-06-25</x:v>
      </x:c>
      <x:c r="B101" s="26" t="str">
        <x:v>June</x:v>
      </x:c>
      <x:c r="C101" s="27" t="n">
        <x:v>2026</x:v>
      </x:c>
      <x:c r="D101" s="26" t="str">
        <x:v>OpenAI</x:v>
      </x:c>
      <x:c r="E101" s="26" t="str">
        <x:v>gpt-5.5</x:v>
      </x:c>
      <x:c r="F101" s="28" t="n">
        <x:v>550193681</x:v>
      </x:c>
      <x:c r="G101" s="28" t="n">
        <x:v>22045329</x:v>
      </x:c>
      <x:c r="H101" s="29" t="n">
        <x:f>'Pricing'!$D$7</x:f>
        <x:v>5</x:v>
      </x:c>
      <x:c r="I101" s="30" t="n">
        <x:f>IF($Y101="No public API price","",$G101/'Pricing'!$M$2*$H101)</x:f>
        <x:v>110.22664499999999</x:v>
      </x:c>
      <x:c r="J101" s="28" t="n">
        <x:v>528148352</x:v>
      </x:c>
      <x:c r="K101" s="29" t="n">
        <x:f>'Pricing'!$E$7</x:f>
        <x:v>0.5</x:v>
      </x:c>
      <x:c r="L101" s="30" t="n">
        <x:f>IF($Y101="No public API price","",$J101/'Pricing'!$M$2*$K101)</x:f>
        <x:v>264.074176</x:v>
      </x:c>
      <x:c r="M101" s="28" t="n">
        <x:v>0</x:v>
      </x:c>
      <x:c r="N101" s="29" t="n">
        <x:f>'Pricing'!$F$7</x:f>
        <x:v>0</x:v>
      </x:c>
      <x:c r="O101" s="30" t="n">
        <x:f>IF($Y101="No public API price","",$M101/'Pricing'!$M$2*$N101)</x:f>
        <x:v>0</x:v>
      </x:c>
      <x:c r="P101" s="28" t="n">
        <x:v>0</x:v>
      </x:c>
      <x:c r="Q101" s="29" t="n">
        <x:f>'Pricing'!$G$7</x:f>
        <x:v>0</x:v>
      </x:c>
      <x:c r="R101" s="30" t="n">
        <x:f>IF($Y101="No public API price","",$P101/'Pricing'!$M$2*$Q101)</x:f>
        <x:v>0</x:v>
      </x:c>
      <x:c r="S101" s="28" t="n">
        <x:v>1476180</x:v>
      </x:c>
      <x:c r="T101" s="29" t="n">
        <x:f>'Pricing'!$H$7</x:f>
        <x:v>30</x:v>
      </x:c>
      <x:c r="U101" s="30" t="n">
        <x:f>IF($Y101="No public API price","",$S101/'Pricing'!$M$2*$T101)</x:f>
        <x:v>44.2854</x:v>
      </x:c>
      <x:c r="V101" s="28" t="n">
        <x:v>439095</x:v>
      </x:c>
      <x:c r="W101" s="28" t="n">
        <x:v>551669861</x:v>
      </x:c>
      <x:c r="X101" s="30" t="n">
        <x:f>IF($Y101="No public API price","",SUM($I101,$L101,$O101,$R101,$U101))</x:f>
        <x:v>418.586221</x:v>
      </x:c>
      <x:c r="Y101" s="26" t="str">
        <x:f>'Pricing'!$C$7</x:f>
        <x:v>Published</x:v>
      </x:c>
    </x:row>
    <x:row r="102" ht="20" customHeight="1">
      <x:c r="A102" s="25" t="str">
        <x:v>2026-06-26</x:v>
      </x:c>
      <x:c r="B102" s="26" t="str">
        <x:v>June</x:v>
      </x:c>
      <x:c r="C102" s="27" t="n">
        <x:v>2026</x:v>
      </x:c>
      <x:c r="D102" s="26" t="str">
        <x:v>OpenAI</x:v>
      </x:c>
      <x:c r="E102" s="26" t="str">
        <x:v>gpt-5.5</x:v>
      </x:c>
      <x:c r="F102" s="28" t="n">
        <x:v>1999100274</x:v>
      </x:c>
      <x:c r="G102" s="28" t="n">
        <x:v>71496818</x:v>
      </x:c>
      <x:c r="H102" s="29" t="n">
        <x:f>'Pricing'!$D$7</x:f>
        <x:v>5</x:v>
      </x:c>
      <x:c r="I102" s="30" t="n">
        <x:f>IF($Y102="No public API price","",$G102/'Pricing'!$M$2*$H102)</x:f>
        <x:v>357.48409000000004</x:v>
      </x:c>
      <x:c r="J102" s="28" t="n">
        <x:v>1927603456</x:v>
      </x:c>
      <x:c r="K102" s="29" t="n">
        <x:f>'Pricing'!$E$7</x:f>
        <x:v>0.5</x:v>
      </x:c>
      <x:c r="L102" s="30" t="n">
        <x:f>IF($Y102="No public API price","",$J102/'Pricing'!$M$2*$K102)</x:f>
        <x:v>963.801728</x:v>
      </x:c>
      <x:c r="M102" s="28" t="n">
        <x:v>0</x:v>
      </x:c>
      <x:c r="N102" s="29" t="n">
        <x:f>'Pricing'!$F$7</x:f>
        <x:v>0</x:v>
      </x:c>
      <x:c r="O102" s="30" t="n">
        <x:f>IF($Y102="No public API price","",$M102/'Pricing'!$M$2*$N102)</x:f>
        <x:v>0</x:v>
      </x:c>
      <x:c r="P102" s="28" t="n">
        <x:v>0</x:v>
      </x:c>
      <x:c r="Q102" s="29" t="n">
        <x:f>'Pricing'!$G$7</x:f>
        <x:v>0</x:v>
      </x:c>
      <x:c r="R102" s="30" t="n">
        <x:f>IF($Y102="No public API price","",$P102/'Pricing'!$M$2*$Q102)</x:f>
        <x:v>0</x:v>
      </x:c>
      <x:c r="S102" s="28" t="n">
        <x:v>4930149</x:v>
      </x:c>
      <x:c r="T102" s="29" t="n">
        <x:f>'Pricing'!$H$7</x:f>
        <x:v>30</x:v>
      </x:c>
      <x:c r="U102" s="30" t="n">
        <x:f>IF($Y102="No public API price","",$S102/'Pricing'!$M$2*$T102)</x:f>
        <x:v>147.90447</x:v>
      </x:c>
      <x:c r="V102" s="28" t="n">
        <x:v>1483876</x:v>
      </x:c>
      <x:c r="W102" s="28" t="n">
        <x:v>2004030423</x:v>
      </x:c>
      <x:c r="X102" s="30" t="n">
        <x:f>IF($Y102="No public API price","",SUM($I102,$L102,$O102,$R102,$U102))</x:f>
        <x:v>1469.190288</x:v>
      </x:c>
      <x:c r="Y102" s="26" t="str">
        <x:f>'Pricing'!$C$7</x:f>
        <x:v>Published</x:v>
      </x:c>
    </x:row>
    <x:row r="103" ht="20" customHeight="1">
      <x:c r="A103" s="25" t="str">
        <x:v>2026-06-27</x:v>
      </x:c>
      <x:c r="B103" s="26" t="str">
        <x:v>June</x:v>
      </x:c>
      <x:c r="C103" s="27" t="n">
        <x:v>2026</x:v>
      </x:c>
      <x:c r="D103" s="26" t="str">
        <x:v>OpenAI</x:v>
      </x:c>
      <x:c r="E103" s="26" t="str">
        <x:v>gpt-5.5</x:v>
      </x:c>
      <x:c r="F103" s="28" t="n">
        <x:v>2699626333</x:v>
      </x:c>
      <x:c r="G103" s="28" t="n">
        <x:v>102017885</x:v>
      </x:c>
      <x:c r="H103" s="29" t="n">
        <x:f>'Pricing'!$D$7</x:f>
        <x:v>5</x:v>
      </x:c>
      <x:c r="I103" s="30" t="n">
        <x:f>IF($Y103="No public API price","",$G103/'Pricing'!$M$2*$H103)</x:f>
        <x:v>510.089425</x:v>
      </x:c>
      <x:c r="J103" s="28" t="n">
        <x:v>2597608448</x:v>
      </x:c>
      <x:c r="K103" s="29" t="n">
        <x:f>'Pricing'!$E$7</x:f>
        <x:v>0.5</x:v>
      </x:c>
      <x:c r="L103" s="30" t="n">
        <x:f>IF($Y103="No public API price","",$J103/'Pricing'!$M$2*$K103)</x:f>
        <x:v>1298.804224</x:v>
      </x:c>
      <x:c r="M103" s="28" t="n">
        <x:v>0</x:v>
      </x:c>
      <x:c r="N103" s="29" t="n">
        <x:f>'Pricing'!$F$7</x:f>
        <x:v>0</x:v>
      </x:c>
      <x:c r="O103" s="30" t="n">
        <x:f>IF($Y103="No public API price","",$M103/'Pricing'!$M$2*$N103)</x:f>
        <x:v>0</x:v>
      </x:c>
      <x:c r="P103" s="28" t="n">
        <x:v>0</x:v>
      </x:c>
      <x:c r="Q103" s="29" t="n">
        <x:f>'Pricing'!$G$7</x:f>
        <x:v>0</x:v>
      </x:c>
      <x:c r="R103" s="30" t="n">
        <x:f>IF($Y103="No public API price","",$P103/'Pricing'!$M$2*$Q103)</x:f>
        <x:v>0</x:v>
      </x:c>
      <x:c r="S103" s="28" t="n">
        <x:v>6199886</x:v>
      </x:c>
      <x:c r="T103" s="29" t="n">
        <x:f>'Pricing'!$H$7</x:f>
        <x:v>30</x:v>
      </x:c>
      <x:c r="U103" s="30" t="n">
        <x:f>IF($Y103="No public API price","",$S103/'Pricing'!$M$2*$T103)</x:f>
        <x:v>185.99658</x:v>
      </x:c>
      <x:c r="V103" s="28" t="n">
        <x:v>1731953</x:v>
      </x:c>
      <x:c r="W103" s="28" t="n">
        <x:v>2705826219</x:v>
      </x:c>
      <x:c r="X103" s="30" t="n">
        <x:f>IF($Y103="No public API price","",SUM($I103,$L103,$O103,$R103,$U103))</x:f>
        <x:v>1994.890229</x:v>
      </x:c>
      <x:c r="Y103" s="26" t="str">
        <x:f>'Pricing'!$C$7</x:f>
        <x:v>Published</x:v>
      </x:c>
    </x:row>
    <x:row r="104" ht="20" customHeight="1">
      <x:c r="A104" s="25" t="str">
        <x:v>2026-06-28</x:v>
      </x:c>
      <x:c r="B104" s="26" t="str">
        <x:v>June</x:v>
      </x:c>
      <x:c r="C104" s="27" t="n">
        <x:v>2026</x:v>
      </x:c>
      <x:c r="D104" s="26" t="str">
        <x:v>OpenAI</x:v>
      </x:c>
      <x:c r="E104" s="26" t="str">
        <x:v>gpt-5.5</x:v>
      </x:c>
      <x:c r="F104" s="28" t="n">
        <x:v>3304723812</x:v>
      </x:c>
      <x:c r="G104" s="28" t="n">
        <x:v>130236388</x:v>
      </x:c>
      <x:c r="H104" s="29" t="n">
        <x:f>'Pricing'!$D$7</x:f>
        <x:v>5</x:v>
      </x:c>
      <x:c r="I104" s="30" t="n">
        <x:f>IF($Y104="No public API price","",$G104/'Pricing'!$M$2*$H104)</x:f>
        <x:v>651.18194</x:v>
      </x:c>
      <x:c r="J104" s="28" t="n">
        <x:v>3174487424</x:v>
      </x:c>
      <x:c r="K104" s="29" t="n">
        <x:f>'Pricing'!$E$7</x:f>
        <x:v>0.5</x:v>
      </x:c>
      <x:c r="L104" s="30" t="n">
        <x:f>IF($Y104="No public API price","",$J104/'Pricing'!$M$2*$K104)</x:f>
        <x:v>1587.243712</x:v>
      </x:c>
      <x:c r="M104" s="28" t="n">
        <x:v>0</x:v>
      </x:c>
      <x:c r="N104" s="29" t="n">
        <x:f>'Pricing'!$F$7</x:f>
        <x:v>0</x:v>
      </x:c>
      <x:c r="O104" s="30" t="n">
        <x:f>IF($Y104="No public API price","",$M104/'Pricing'!$M$2*$N104)</x:f>
        <x:v>0</x:v>
      </x:c>
      <x:c r="P104" s="28" t="n">
        <x:v>0</x:v>
      </x:c>
      <x:c r="Q104" s="29" t="n">
        <x:f>'Pricing'!$G$7</x:f>
        <x:v>0</x:v>
      </x:c>
      <x:c r="R104" s="30" t="n">
        <x:f>IF($Y104="No public API price","",$P104/'Pricing'!$M$2*$Q104)</x:f>
        <x:v>0</x:v>
      </x:c>
      <x:c r="S104" s="28" t="n">
        <x:v>7207509</x:v>
      </x:c>
      <x:c r="T104" s="29" t="n">
        <x:f>'Pricing'!$H$7</x:f>
        <x:v>30</x:v>
      </x:c>
      <x:c r="U104" s="30" t="n">
        <x:f>IF($Y104="No public API price","",$S104/'Pricing'!$M$2*$T104)</x:f>
        <x:v>216.22527</x:v>
      </x:c>
      <x:c r="V104" s="28" t="n">
        <x:v>1933837</x:v>
      </x:c>
      <x:c r="W104" s="28" t="n">
        <x:v>3311931321</x:v>
      </x:c>
      <x:c r="X104" s="30" t="n">
        <x:f>IF($Y104="No public API price","",SUM($I104,$L104,$O104,$R104,$U104))</x:f>
        <x:v>2454.650922</x:v>
      </x:c>
      <x:c r="Y104" s="26" t="str">
        <x:f>'Pricing'!$C$7</x:f>
        <x:v>Published</x:v>
      </x:c>
    </x:row>
    <x:row r="105" ht="20" customHeight="1">
      <x:c r="A105" s="25" t="str">
        <x:v>2026-06-29</x:v>
      </x:c>
      <x:c r="B105" s="26" t="str">
        <x:v>June</x:v>
      </x:c>
      <x:c r="C105" s="27" t="n">
        <x:v>2026</x:v>
      </x:c>
      <x:c r="D105" s="26" t="str">
        <x:v>OpenAI</x:v>
      </x:c>
      <x:c r="E105" s="26" t="str">
        <x:v>gpt-5.5</x:v>
      </x:c>
      <x:c r="F105" s="28" t="n">
        <x:v>4198043801</x:v>
      </x:c>
      <x:c r="G105" s="28" t="n">
        <x:v>192372249</x:v>
      </x:c>
      <x:c r="H105" s="29" t="n">
        <x:f>'Pricing'!$D$7</x:f>
        <x:v>5</x:v>
      </x:c>
      <x:c r="I105" s="30" t="n">
        <x:f>IF($Y105="No public API price","",$G105/'Pricing'!$M$2*$H105)</x:f>
        <x:v>961.861245</x:v>
      </x:c>
      <x:c r="J105" s="28" t="n">
        <x:v>4005671552</x:v>
      </x:c>
      <x:c r="K105" s="29" t="n">
        <x:f>'Pricing'!$E$7</x:f>
        <x:v>0.5</x:v>
      </x:c>
      <x:c r="L105" s="30" t="n">
        <x:f>IF($Y105="No public API price","",$J105/'Pricing'!$M$2*$K105)</x:f>
        <x:v>2002.835776</x:v>
      </x:c>
      <x:c r="M105" s="28" t="n">
        <x:v>0</x:v>
      </x:c>
      <x:c r="N105" s="29" t="n">
        <x:f>'Pricing'!$F$7</x:f>
        <x:v>0</x:v>
      </x:c>
      <x:c r="O105" s="30" t="n">
        <x:f>IF($Y105="No public API price","",$M105/'Pricing'!$M$2*$N105)</x:f>
        <x:v>0</x:v>
      </x:c>
      <x:c r="P105" s="28" t="n">
        <x:v>0</x:v>
      </x:c>
      <x:c r="Q105" s="29" t="n">
        <x:f>'Pricing'!$G$7</x:f>
        <x:v>0</x:v>
      </x:c>
      <x:c r="R105" s="30" t="n">
        <x:f>IF($Y105="No public API price","",$P105/'Pricing'!$M$2*$Q105)</x:f>
        <x:v>0</x:v>
      </x:c>
      <x:c r="S105" s="28" t="n">
        <x:v>9563555</x:v>
      </x:c>
      <x:c r="T105" s="29" t="n">
        <x:f>'Pricing'!$H$7</x:f>
        <x:v>30</x:v>
      </x:c>
      <x:c r="U105" s="30" t="n">
        <x:f>IF($Y105="No public API price","",$S105/'Pricing'!$M$2*$T105)</x:f>
        <x:v>286.90664999999996</x:v>
      </x:c>
      <x:c r="V105" s="28" t="n">
        <x:v>2488968</x:v>
      </x:c>
      <x:c r="W105" s="28" t="n">
        <x:v>4207607356</x:v>
      </x:c>
      <x:c r="X105" s="30" t="n">
        <x:f>IF($Y105="No public API price","",SUM($I105,$L105,$O105,$R105,$U105))</x:f>
        <x:v>3251.603671</x:v>
      </x:c>
      <x:c r="Y105" s="26" t="str">
        <x:f>'Pricing'!$C$7</x:f>
        <x:v>Published</x:v>
      </x:c>
    </x:row>
    <x:row r="106" ht="20" customHeight="1">
      <x:c r="A106" s="25" t="str">
        <x:v>2026-06-30</x:v>
      </x:c>
      <x:c r="B106" s="26" t="str">
        <x:v>June</x:v>
      </x:c>
      <x:c r="C106" s="27" t="n">
        <x:v>2026</x:v>
      </x:c>
      <x:c r="D106" s="26" t="str">
        <x:v>OpenAI</x:v>
      </x:c>
      <x:c r="E106" s="26" t="str">
        <x:v>gpt-5.5</x:v>
      </x:c>
      <x:c r="F106" s="28" t="n">
        <x:v>9235806622</x:v>
      </x:c>
      <x:c r="G106" s="28" t="n">
        <x:v>453649182</x:v>
      </x:c>
      <x:c r="H106" s="29" t="n">
        <x:f>'Pricing'!$D$7</x:f>
        <x:v>5</x:v>
      </x:c>
      <x:c r="I106" s="30" t="n">
        <x:f>IF($Y106="No public API price","",$G106/'Pricing'!$M$2*$H106)</x:f>
        <x:v>2268.24591</x:v>
      </x:c>
      <x:c r="J106" s="28" t="n">
        <x:v>8782157440</x:v>
      </x:c>
      <x:c r="K106" s="29" t="n">
        <x:f>'Pricing'!$E$7</x:f>
        <x:v>0.5</x:v>
      </x:c>
      <x:c r="L106" s="30" t="n">
        <x:f>IF($Y106="No public API price","",$J106/'Pricing'!$M$2*$K106)</x:f>
        <x:v>4391.07872</x:v>
      </x:c>
      <x:c r="M106" s="28" t="n">
        <x:v>0</x:v>
      </x:c>
      <x:c r="N106" s="29" t="n">
        <x:f>'Pricing'!$F$7</x:f>
        <x:v>0</x:v>
      </x:c>
      <x:c r="O106" s="30" t="n">
        <x:f>IF($Y106="No public API price","",$M106/'Pricing'!$M$2*$N106)</x:f>
        <x:v>0</x:v>
      </x:c>
      <x:c r="P106" s="28" t="n">
        <x:v>0</x:v>
      </x:c>
      <x:c r="Q106" s="29" t="n">
        <x:f>'Pricing'!$G$7</x:f>
        <x:v>0</x:v>
      </x:c>
      <x:c r="R106" s="30" t="n">
        <x:f>IF($Y106="No public API price","",$P106/'Pricing'!$M$2*$Q106)</x:f>
        <x:v>0</x:v>
      </x:c>
      <x:c r="S106" s="28" t="n">
        <x:v>20260181</x:v>
      </x:c>
      <x:c r="T106" s="29" t="n">
        <x:f>'Pricing'!$H$7</x:f>
        <x:v>30</x:v>
      </x:c>
      <x:c r="U106" s="30" t="n">
        <x:f>IF($Y106="No public API price","",$S106/'Pricing'!$M$2*$T106)</x:f>
        <x:v>607.80543</x:v>
      </x:c>
      <x:c r="V106" s="28" t="n">
        <x:v>5093170</x:v>
      </x:c>
      <x:c r="W106" s="28" t="n">
        <x:v>9256066803</x:v>
      </x:c>
      <x:c r="X106" s="30" t="n">
        <x:f>IF($Y106="No public API price","",SUM($I106,$L106,$O106,$R106,$U106))</x:f>
        <x:v>7267.130060000001</x:v>
      </x:c>
      <x:c r="Y106" s="26" t="str">
        <x:f>'Pricing'!$C$7</x:f>
        <x:v>Published</x:v>
      </x:c>
    </x:row>
    <x:row r="107" ht="20" customHeight="1">
      <x:c r="A107" s="25" t="str">
        <x:v>2026-07-01</x:v>
      </x:c>
      <x:c r="B107" s="26" t="str">
        <x:v>July</x:v>
      </x:c>
      <x:c r="C107" s="27" t="n">
        <x:v>2026</x:v>
      </x:c>
      <x:c r="D107" s="26" t="str">
        <x:v>OpenAI</x:v>
      </x:c>
      <x:c r="E107" s="26" t="str">
        <x:v>gpt-5.5</x:v>
      </x:c>
      <x:c r="F107" s="28" t="n">
        <x:v>1176168049</x:v>
      </x:c>
      <x:c r="G107" s="28" t="n">
        <x:v>62726769</x:v>
      </x:c>
      <x:c r="H107" s="29" t="n">
        <x:f>'Pricing'!$D$7</x:f>
        <x:v>5</x:v>
      </x:c>
      <x:c r="I107" s="30" t="n">
        <x:f>IF($Y107="No public API price","",$G107/'Pricing'!$M$2*$H107)</x:f>
        <x:v>313.633845</x:v>
      </x:c>
      <x:c r="J107" s="28" t="n">
        <x:v>1113441280</x:v>
      </x:c>
      <x:c r="K107" s="29" t="n">
        <x:f>'Pricing'!$E$7</x:f>
        <x:v>0.5</x:v>
      </x:c>
      <x:c r="L107" s="30" t="n">
        <x:f>IF($Y107="No public API price","",$J107/'Pricing'!$M$2*$K107)</x:f>
        <x:v>556.72064</x:v>
      </x:c>
      <x:c r="M107" s="28" t="n">
        <x:v>0</x:v>
      </x:c>
      <x:c r="N107" s="29" t="n">
        <x:f>'Pricing'!$F$7</x:f>
        <x:v>0</x:v>
      </x:c>
      <x:c r="O107" s="30" t="n">
        <x:f>IF($Y107="No public API price","",$M107/'Pricing'!$M$2*$N107)</x:f>
        <x:v>0</x:v>
      </x:c>
      <x:c r="P107" s="28" t="n">
        <x:v>0</x:v>
      </x:c>
      <x:c r="Q107" s="29" t="n">
        <x:f>'Pricing'!$G$7</x:f>
        <x:v>0</x:v>
      </x:c>
      <x:c r="R107" s="30" t="n">
        <x:f>IF($Y107="No public API price","",$P107/'Pricing'!$M$2*$Q107)</x:f>
        <x:v>0</x:v>
      </x:c>
      <x:c r="S107" s="28" t="n">
        <x:v>2521514</x:v>
      </x:c>
      <x:c r="T107" s="29" t="n">
        <x:f>'Pricing'!$H$7</x:f>
        <x:v>30</x:v>
      </x:c>
      <x:c r="U107" s="30" t="n">
        <x:f>IF($Y107="No public API price","",$S107/'Pricing'!$M$2*$T107)</x:f>
        <x:v>75.64542</x:v>
      </x:c>
      <x:c r="V107" s="28" t="n">
        <x:v>626161</x:v>
      </x:c>
      <x:c r="W107" s="28" t="n">
        <x:v>1178689563</x:v>
      </x:c>
      <x:c r="X107" s="30" t="n">
        <x:f>IF($Y107="No public API price","",SUM($I107,$L107,$O107,$R107,$U107))</x:f>
        <x:v>945.9999050000001</x:v>
      </x:c>
      <x:c r="Y107" s="26" t="str">
        <x:f>'Pricing'!$C$7</x:f>
        <x:v>Published</x:v>
      </x:c>
    </x:row>
    <x:row r="108" ht="20" customHeight="1">
      <x:c r="A108" s="25" t="str">
        <x:v>2026-07-02</x:v>
      </x:c>
      <x:c r="B108" s="26" t="str">
        <x:v>July</x:v>
      </x:c>
      <x:c r="C108" s="27" t="n">
        <x:v>2026</x:v>
      </x:c>
      <x:c r="D108" s="26" t="str">
        <x:v>OpenAI</x:v>
      </x:c>
      <x:c r="E108" s="26" t="str">
        <x:v>gpt-5.5</x:v>
      </x:c>
      <x:c r="F108" s="28" t="n">
        <x:v>1258740723</x:v>
      </x:c>
      <x:c r="G108" s="28" t="n">
        <x:v>74826739</x:v>
      </x:c>
      <x:c r="H108" s="29" t="n">
        <x:f>'Pricing'!$D$7</x:f>
        <x:v>5</x:v>
      </x:c>
      <x:c r="I108" s="30" t="n">
        <x:f>IF($Y108="No public API price","",$G108/'Pricing'!$M$2*$H108)</x:f>
        <x:v>374.133695</x:v>
      </x:c>
      <x:c r="J108" s="28" t="n">
        <x:v>1183913984</x:v>
      </x:c>
      <x:c r="K108" s="29" t="n">
        <x:f>'Pricing'!$E$7</x:f>
        <x:v>0.5</x:v>
      </x:c>
      <x:c r="L108" s="30" t="n">
        <x:f>IF($Y108="No public API price","",$J108/'Pricing'!$M$2*$K108)</x:f>
        <x:v>591.956992</x:v>
      </x:c>
      <x:c r="M108" s="28" t="n">
        <x:v>0</x:v>
      </x:c>
      <x:c r="N108" s="29" t="n">
        <x:f>'Pricing'!$F$7</x:f>
        <x:v>0</x:v>
      </x:c>
      <x:c r="O108" s="30" t="n">
        <x:f>IF($Y108="No public API price","",$M108/'Pricing'!$M$2*$N108)</x:f>
        <x:v>0</x:v>
      </x:c>
      <x:c r="P108" s="28" t="n">
        <x:v>0</x:v>
      </x:c>
      <x:c r="Q108" s="29" t="n">
        <x:f>'Pricing'!$G$7</x:f>
        <x:v>0</x:v>
      </x:c>
      <x:c r="R108" s="30" t="n">
        <x:f>IF($Y108="No public API price","",$P108/'Pricing'!$M$2*$Q108)</x:f>
        <x:v>0</x:v>
      </x:c>
      <x:c r="S108" s="28" t="n">
        <x:v>2528690</x:v>
      </x:c>
      <x:c r="T108" s="29" t="n">
        <x:f>'Pricing'!$H$7</x:f>
        <x:v>30</x:v>
      </x:c>
      <x:c r="U108" s="30" t="n">
        <x:f>IF($Y108="No public API price","",$S108/'Pricing'!$M$2*$T108)</x:f>
        <x:v>75.86070000000001</x:v>
      </x:c>
      <x:c r="V108" s="28" t="n">
        <x:v>717080</x:v>
      </x:c>
      <x:c r="W108" s="28" t="n">
        <x:v>1261269413</x:v>
      </x:c>
      <x:c r="X108" s="30" t="n">
        <x:f>IF($Y108="No public API price","",SUM($I108,$L108,$O108,$R108,$U108))</x:f>
        <x:v>1041.951387</x:v>
      </x:c>
      <x:c r="Y108" s="26" t="str">
        <x:f>'Pricing'!$C$7</x:f>
        <x:v>Published</x:v>
      </x:c>
    </x:row>
    <x:row r="109" ht="20" customHeight="1">
      <x:c r="A109" s="25" t="str">
        <x:v>2026-07-03</x:v>
      </x:c>
      <x:c r="B109" s="26" t="str">
        <x:v>July</x:v>
      </x:c>
      <x:c r="C109" s="27" t="n">
        <x:v>2026</x:v>
      </x:c>
      <x:c r="D109" s="26" t="str">
        <x:v>OpenAI</x:v>
      </x:c>
      <x:c r="E109" s="26" t="str">
        <x:v>gpt-5.5</x:v>
      </x:c>
      <x:c r="F109" s="28" t="n">
        <x:v>1131202130</x:v>
      </x:c>
      <x:c r="G109" s="28" t="n">
        <x:v>63186002</x:v>
      </x:c>
      <x:c r="H109" s="29" t="n">
        <x:f>'Pricing'!$D$7</x:f>
        <x:v>5</x:v>
      </x:c>
      <x:c r="I109" s="30" t="n">
        <x:f>IF($Y109="No public API price","",$G109/'Pricing'!$M$2*$H109)</x:f>
        <x:v>315.93001000000004</x:v>
      </x:c>
      <x:c r="J109" s="28" t="n">
        <x:v>1068016128</x:v>
      </x:c>
      <x:c r="K109" s="29" t="n">
        <x:f>'Pricing'!$E$7</x:f>
        <x:v>0.5</x:v>
      </x:c>
      <x:c r="L109" s="30" t="n">
        <x:f>IF($Y109="No public API price","",$J109/'Pricing'!$M$2*$K109)</x:f>
        <x:v>534.008064</x:v>
      </x:c>
      <x:c r="M109" s="28" t="n">
        <x:v>0</x:v>
      </x:c>
      <x:c r="N109" s="29" t="n">
        <x:f>'Pricing'!$F$7</x:f>
        <x:v>0</x:v>
      </x:c>
      <x:c r="O109" s="30" t="n">
        <x:f>IF($Y109="No public API price","",$M109/'Pricing'!$M$2*$N109)</x:f>
        <x:v>0</x:v>
      </x:c>
      <x:c r="P109" s="28" t="n">
        <x:v>0</x:v>
      </x:c>
      <x:c r="Q109" s="29" t="n">
        <x:f>'Pricing'!$G$7</x:f>
        <x:v>0</x:v>
      </x:c>
      <x:c r="R109" s="30" t="n">
        <x:f>IF($Y109="No public API price","",$P109/'Pricing'!$M$2*$Q109)</x:f>
        <x:v>0</x:v>
      </x:c>
      <x:c r="S109" s="28" t="n">
        <x:v>2023498</x:v>
      </x:c>
      <x:c r="T109" s="29" t="n">
        <x:f>'Pricing'!$H$7</x:f>
        <x:v>30</x:v>
      </x:c>
      <x:c r="U109" s="30" t="n">
        <x:f>IF($Y109="No public API price","",$S109/'Pricing'!$M$2*$T109)</x:f>
        <x:v>60.70494</x:v>
      </x:c>
      <x:c r="V109" s="28" t="n">
        <x:v>530959</x:v>
      </x:c>
      <x:c r="W109" s="28" t="n">
        <x:v>1133225628</x:v>
      </x:c>
      <x:c r="X109" s="30" t="n">
        <x:f>IF($Y109="No public API price","",SUM($I109,$L109,$O109,$R109,$U109))</x:f>
        <x:v>910.643014</x:v>
      </x:c>
      <x:c r="Y109" s="26" t="str">
        <x:f>'Pricing'!$C$7</x:f>
        <x:v>Published</x:v>
      </x:c>
    </x:row>
    <x:row r="110" ht="20" customHeight="1">
      <x:c r="A110" s="25" t="str">
        <x:v>2026-07-04</x:v>
      </x:c>
      <x:c r="B110" s="26" t="str">
        <x:v>July</x:v>
      </x:c>
      <x:c r="C110" s="27" t="n">
        <x:v>2026</x:v>
      </x:c>
      <x:c r="D110" s="26" t="str">
        <x:v>OpenAI</x:v>
      </x:c>
      <x:c r="E110" s="26" t="str">
        <x:v>gpt-5.5</x:v>
      </x:c>
      <x:c r="F110" s="28" t="n">
        <x:v>1642420288</x:v>
      </x:c>
      <x:c r="G110" s="28" t="n">
        <x:v>50455360</x:v>
      </x:c>
      <x:c r="H110" s="29" t="n">
        <x:f>'Pricing'!$D$7</x:f>
        <x:v>5</x:v>
      </x:c>
      <x:c r="I110" s="30" t="n">
        <x:f>IF($Y110="No public API price","",$G110/'Pricing'!$M$2*$H110)</x:f>
        <x:v>252.27679999999998</x:v>
      </x:c>
      <x:c r="J110" s="28" t="n">
        <x:v>1591964928</x:v>
      </x:c>
      <x:c r="K110" s="29" t="n">
        <x:f>'Pricing'!$E$7</x:f>
        <x:v>0.5</x:v>
      </x:c>
      <x:c r="L110" s="30" t="n">
        <x:f>IF($Y110="No public API price","",$J110/'Pricing'!$M$2*$K110)</x:f>
        <x:v>795.982464</x:v>
      </x:c>
      <x:c r="M110" s="28" t="n">
        <x:v>0</x:v>
      </x:c>
      <x:c r="N110" s="29" t="n">
        <x:f>'Pricing'!$F$7</x:f>
        <x:v>0</x:v>
      </x:c>
      <x:c r="O110" s="30" t="n">
        <x:f>IF($Y110="No public API price","",$M110/'Pricing'!$M$2*$N110)</x:f>
        <x:v>0</x:v>
      </x:c>
      <x:c r="P110" s="28" t="n">
        <x:v>0</x:v>
      </x:c>
      <x:c r="Q110" s="29" t="n">
        <x:f>'Pricing'!$G$7</x:f>
        <x:v>0</x:v>
      </x:c>
      <x:c r="R110" s="30" t="n">
        <x:f>IF($Y110="No public API price","",$P110/'Pricing'!$M$2*$Q110)</x:f>
        <x:v>0</x:v>
      </x:c>
      <x:c r="S110" s="28" t="n">
        <x:v>3527502</x:v>
      </x:c>
      <x:c r="T110" s="29" t="n">
        <x:f>'Pricing'!$H$7</x:f>
        <x:v>30</x:v>
      </x:c>
      <x:c r="U110" s="30" t="n">
        <x:f>IF($Y110="No public API price","",$S110/'Pricing'!$M$2*$T110)</x:f>
        <x:v>105.82506000000001</x:v>
      </x:c>
      <x:c r="V110" s="28" t="n">
        <x:v>870651</x:v>
      </x:c>
      <x:c r="W110" s="28" t="n">
        <x:v>1645947790</x:v>
      </x:c>
      <x:c r="X110" s="30" t="n">
        <x:f>IF($Y110="No public API price","",SUM($I110,$L110,$O110,$R110,$U110))</x:f>
        <x:v>1154.084324</x:v>
      </x:c>
      <x:c r="Y110" s="26" t="str">
        <x:f>'Pricing'!$C$7</x:f>
        <x:v>Published</x:v>
      </x:c>
    </x:row>
    <x:row r="111" ht="20" customHeight="1">
      <x:c r="A111" s="25" t="str">
        <x:v>2026-07-05</x:v>
      </x:c>
      <x:c r="B111" s="26" t="str">
        <x:v>July</x:v>
      </x:c>
      <x:c r="C111" s="27" t="n">
        <x:v>2026</x:v>
      </x:c>
      <x:c r="D111" s="26" t="str">
        <x:v>OpenAI</x:v>
      </x:c>
      <x:c r="E111" s="26" t="str">
        <x:v>gpt-5.5</x:v>
      </x:c>
      <x:c r="F111" s="28" t="n">
        <x:v>1314656323</x:v>
      </x:c>
      <x:c r="G111" s="28" t="n">
        <x:v>41494339</x:v>
      </x:c>
      <x:c r="H111" s="29" t="n">
        <x:f>'Pricing'!$D$7</x:f>
        <x:v>5</x:v>
      </x:c>
      <x:c r="I111" s="30" t="n">
        <x:f>IF($Y111="No public API price","",$G111/'Pricing'!$M$2*$H111)</x:f>
        <x:v>207.47169499999998</x:v>
      </x:c>
      <x:c r="J111" s="28" t="n">
        <x:v>1273161984</x:v>
      </x:c>
      <x:c r="K111" s="29" t="n">
        <x:f>'Pricing'!$E$7</x:f>
        <x:v>0.5</x:v>
      </x:c>
      <x:c r="L111" s="30" t="n">
        <x:f>IF($Y111="No public API price","",$J111/'Pricing'!$M$2*$K111)</x:f>
        <x:v>636.580992</x:v>
      </x:c>
      <x:c r="M111" s="28" t="n">
        <x:v>0</x:v>
      </x:c>
      <x:c r="N111" s="29" t="n">
        <x:f>'Pricing'!$F$7</x:f>
        <x:v>0</x:v>
      </x:c>
      <x:c r="O111" s="30" t="n">
        <x:f>IF($Y111="No public API price","",$M111/'Pricing'!$M$2*$N111)</x:f>
        <x:v>0</x:v>
      </x:c>
      <x:c r="P111" s="28" t="n">
        <x:v>0</x:v>
      </x:c>
      <x:c r="Q111" s="29" t="n">
        <x:f>'Pricing'!$G$7</x:f>
        <x:v>0</x:v>
      </x:c>
      <x:c r="R111" s="30" t="n">
        <x:f>IF($Y111="No public API price","",$P111/'Pricing'!$M$2*$Q111)</x:f>
        <x:v>0</x:v>
      </x:c>
      <x:c r="S111" s="28" t="n">
        <x:v>2740439</x:v>
      </x:c>
      <x:c r="T111" s="29" t="n">
        <x:f>'Pricing'!$H$7</x:f>
        <x:v>30</x:v>
      </x:c>
      <x:c r="U111" s="30" t="n">
        <x:f>IF($Y111="No public API price","",$S111/'Pricing'!$M$2*$T111)</x:f>
        <x:v>82.21316999999999</x:v>
      </x:c>
      <x:c r="V111" s="28" t="n">
        <x:v>705446</x:v>
      </x:c>
      <x:c r="W111" s="28" t="n">
        <x:v>1317396762</x:v>
      </x:c>
      <x:c r="X111" s="30" t="n">
        <x:f>IF($Y111="No public API price","",SUM($I111,$L111,$O111,$R111,$U111))</x:f>
        <x:v>926.265857</x:v>
      </x:c>
      <x:c r="Y111" s="26" t="str">
        <x:f>'Pricing'!$C$7</x:f>
        <x:v>Published</x:v>
      </x:c>
    </x:row>
    <x:row r="112" ht="20" customHeight="1">
      <x:c r="A112" s="25" t="str">
        <x:v>2026-07-06</x:v>
      </x:c>
      <x:c r="B112" s="26" t="str">
        <x:v>July</x:v>
      </x:c>
      <x:c r="C112" s="27" t="n">
        <x:v>2026</x:v>
      </x:c>
      <x:c r="D112" s="26" t="str">
        <x:v>OpenAI</x:v>
      </x:c>
      <x:c r="E112" s="26" t="str">
        <x:v>gpt-5.5</x:v>
      </x:c>
      <x:c r="F112" s="28" t="n">
        <x:v>691145701</x:v>
      </x:c>
      <x:c r="G112" s="28" t="n">
        <x:v>27410405</x:v>
      </x:c>
      <x:c r="H112" s="29" t="n">
        <x:f>'Pricing'!$D$7</x:f>
        <x:v>5</x:v>
      </x:c>
      <x:c r="I112" s="30" t="n">
        <x:f>IF($Y112="No public API price","",$G112/'Pricing'!$M$2*$H112)</x:f>
        <x:v>137.05202500000001</x:v>
      </x:c>
      <x:c r="J112" s="28" t="n">
        <x:v>663735296</x:v>
      </x:c>
      <x:c r="K112" s="29" t="n">
        <x:f>'Pricing'!$E$7</x:f>
        <x:v>0.5</x:v>
      </x:c>
      <x:c r="L112" s="30" t="n">
        <x:f>IF($Y112="No public API price","",$J112/'Pricing'!$M$2*$K112)</x:f>
        <x:v>331.867648</x:v>
      </x:c>
      <x:c r="M112" s="28" t="n">
        <x:v>0</x:v>
      </x:c>
      <x:c r="N112" s="29" t="n">
        <x:f>'Pricing'!$F$7</x:f>
        <x:v>0</x:v>
      </x:c>
      <x:c r="O112" s="30" t="n">
        <x:f>IF($Y112="No public API price","",$M112/'Pricing'!$M$2*$N112)</x:f>
        <x:v>0</x:v>
      </x:c>
      <x:c r="P112" s="28" t="n">
        <x:v>0</x:v>
      </x:c>
      <x:c r="Q112" s="29" t="n">
        <x:f>'Pricing'!$G$7</x:f>
        <x:v>0</x:v>
      </x:c>
      <x:c r="R112" s="30" t="n">
        <x:f>IF($Y112="No public API price","",$P112/'Pricing'!$M$2*$Q112)</x:f>
        <x:v>0</x:v>
      </x:c>
      <x:c r="S112" s="28" t="n">
        <x:v>1310609</x:v>
      </x:c>
      <x:c r="T112" s="29" t="n">
        <x:f>'Pricing'!$H$7</x:f>
        <x:v>30</x:v>
      </x:c>
      <x:c r="U112" s="30" t="n">
        <x:f>IF($Y112="No public API price","",$S112/'Pricing'!$M$2*$T112)</x:f>
        <x:v>39.31827</x:v>
      </x:c>
      <x:c r="V112" s="28" t="n">
        <x:v>334831</x:v>
      </x:c>
      <x:c r="W112" s="28" t="n">
        <x:v>692456310</x:v>
      </x:c>
      <x:c r="X112" s="30" t="n">
        <x:f>IF($Y112="No public API price","",SUM($I112,$L112,$O112,$R112,$U112))</x:f>
        <x:v>508.237943</x:v>
      </x:c>
      <x:c r="Y112" s="26" t="str">
        <x:f>'Pricing'!$C$7</x:f>
        <x:v>Published</x:v>
      </x:c>
    </x:row>
    <x:row r="113" ht="20" customHeight="1">
      <x:c r="A113" s="25" t="str">
        <x:v>2026-07-07</x:v>
      </x:c>
      <x:c r="B113" s="26" t="str">
        <x:v>July</x:v>
      </x:c>
      <x:c r="C113" s="27" t="n">
        <x:v>2026</x:v>
      </x:c>
      <x:c r="D113" s="26" t="str">
        <x:v>OpenAI</x:v>
      </x:c>
      <x:c r="E113" s="26" t="str">
        <x:v>gpt-5.5</x:v>
      </x:c>
      <x:c r="F113" s="28" t="n">
        <x:v>7475245872</x:v>
      </x:c>
      <x:c r="G113" s="28" t="n">
        <x:v>321856688</x:v>
      </x:c>
      <x:c r="H113" s="29" t="n">
        <x:f>'Pricing'!$D$7</x:f>
        <x:v>5</x:v>
      </x:c>
      <x:c r="I113" s="30" t="n">
        <x:f>IF($Y113="No public API price","",$G113/'Pricing'!$M$2*$H113)</x:f>
        <x:v>1609.2834400000002</x:v>
      </x:c>
      <x:c r="J113" s="28" t="n">
        <x:v>7153389184</x:v>
      </x:c>
      <x:c r="K113" s="29" t="n">
        <x:f>'Pricing'!$E$7</x:f>
        <x:v>0.5</x:v>
      </x:c>
      <x:c r="L113" s="30" t="n">
        <x:f>IF($Y113="No public API price","",$J113/'Pricing'!$M$2*$K113)</x:f>
        <x:v>3576.694592</x:v>
      </x:c>
      <x:c r="M113" s="28" t="n">
        <x:v>0</x:v>
      </x:c>
      <x:c r="N113" s="29" t="n">
        <x:f>'Pricing'!$F$7</x:f>
        <x:v>0</x:v>
      </x:c>
      <x:c r="O113" s="30" t="n">
        <x:f>IF($Y113="No public API price","",$M113/'Pricing'!$M$2*$N113)</x:f>
        <x:v>0</x:v>
      </x:c>
      <x:c r="P113" s="28" t="n">
        <x:v>0</x:v>
      </x:c>
      <x:c r="Q113" s="29" t="n">
        <x:f>'Pricing'!$G$7</x:f>
        <x:v>0</x:v>
      </x:c>
      <x:c r="R113" s="30" t="n">
        <x:f>IF($Y113="No public API price","",$P113/'Pricing'!$M$2*$Q113)</x:f>
        <x:v>0</x:v>
      </x:c>
      <x:c r="S113" s="28" t="n">
        <x:v>14840425</x:v>
      </x:c>
      <x:c r="T113" s="29" t="n">
        <x:f>'Pricing'!$H$7</x:f>
        <x:v>30</x:v>
      </x:c>
      <x:c r="U113" s="30" t="n">
        <x:f>IF($Y113="No public API price","",$S113/'Pricing'!$M$2*$T113)</x:f>
        <x:v>445.21274999999997</x:v>
      </x:c>
      <x:c r="V113" s="28" t="n">
        <x:v>3802861</x:v>
      </x:c>
      <x:c r="W113" s="28" t="n">
        <x:v>7490086297</x:v>
      </x:c>
      <x:c r="X113" s="30" t="n">
        <x:f>IF($Y113="No public API price","",SUM($I113,$L113,$O113,$R113,$U113))</x:f>
        <x:v>5631.190782</x:v>
      </x:c>
      <x:c r="Y113" s="26" t="str">
        <x:f>'Pricing'!$C$7</x:f>
        <x:v>Published</x:v>
      </x:c>
    </x:row>
    <x:row r="114" ht="20" customHeight="1">
      <x:c r="A114" s="25" t="str">
        <x:v>2026-07-08</x:v>
      </x:c>
      <x:c r="B114" s="26" t="str">
        <x:v>July</x:v>
      </x:c>
      <x:c r="C114" s="27" t="n">
        <x:v>2026</x:v>
      </x:c>
      <x:c r="D114" s="26" t="str">
        <x:v>OpenAI</x:v>
      </x:c>
      <x:c r="E114" s="26" t="str">
        <x:v>gpt-5.5</x:v>
      </x:c>
      <x:c r="F114" s="28" t="n">
        <x:v>5986940271</x:v>
      </x:c>
      <x:c r="G114" s="28" t="n">
        <x:v>270614511</x:v>
      </x:c>
      <x:c r="H114" s="29" t="n">
        <x:f>'Pricing'!$D$7</x:f>
        <x:v>5</x:v>
      </x:c>
      <x:c r="I114" s="30" t="n">
        <x:f>IF($Y114="No public API price","",$G114/'Pricing'!$M$2*$H114)</x:f>
        <x:v>1353.072555</x:v>
      </x:c>
      <x:c r="J114" s="28" t="n">
        <x:v>5716325760</x:v>
      </x:c>
      <x:c r="K114" s="29" t="n">
        <x:f>'Pricing'!$E$7</x:f>
        <x:v>0.5</x:v>
      </x:c>
      <x:c r="L114" s="30" t="n">
        <x:f>IF($Y114="No public API price","",$J114/'Pricing'!$M$2*$K114)</x:f>
        <x:v>2858.16288</x:v>
      </x:c>
      <x:c r="M114" s="28" t="n">
        <x:v>0</x:v>
      </x:c>
      <x:c r="N114" s="29" t="n">
        <x:f>'Pricing'!$F$7</x:f>
        <x:v>0</x:v>
      </x:c>
      <x:c r="O114" s="30" t="n">
        <x:f>IF($Y114="No public API price","",$M114/'Pricing'!$M$2*$N114)</x:f>
        <x:v>0</x:v>
      </x:c>
      <x:c r="P114" s="28" t="n">
        <x:v>0</x:v>
      </x:c>
      <x:c r="Q114" s="29" t="n">
        <x:f>'Pricing'!$G$7</x:f>
        <x:v>0</x:v>
      </x:c>
      <x:c r="R114" s="30" t="n">
        <x:f>IF($Y114="No public API price","",$P114/'Pricing'!$M$2*$Q114)</x:f>
        <x:v>0</x:v>
      </x:c>
      <x:c r="S114" s="28" t="n">
        <x:v>12249132</x:v>
      </x:c>
      <x:c r="T114" s="29" t="n">
        <x:f>'Pricing'!$H$7</x:f>
        <x:v>30</x:v>
      </x:c>
      <x:c r="U114" s="30" t="n">
        <x:f>IF($Y114="No public API price","",$S114/'Pricing'!$M$2*$T114)</x:f>
        <x:v>367.47396</x:v>
      </x:c>
      <x:c r="V114" s="28" t="n">
        <x:v>3291256</x:v>
      </x:c>
      <x:c r="W114" s="28" t="n">
        <x:v>5999189403</x:v>
      </x:c>
      <x:c r="X114" s="30" t="n">
        <x:f>IF($Y114="No public API price","",SUM($I114,$L114,$O114,$R114,$U114))</x:f>
        <x:v>4578.709395</x:v>
      </x:c>
      <x:c r="Y114" s="26" t="str">
        <x:f>'Pricing'!$C$7</x:f>
        <x:v>Published</x:v>
      </x:c>
    </x:row>
    <x:row r="115" ht="20" customHeight="1">
      <x:c r="A115" s="25" t="str">
        <x:v>2026-07-09</x:v>
      </x:c>
      <x:c r="B115" s="26" t="str">
        <x:v>July</x:v>
      </x:c>
      <x:c r="C115" s="27" t="n">
        <x:v>2026</x:v>
      </x:c>
      <x:c r="D115" s="26" t="str">
        <x:v>OpenAI</x:v>
      </x:c>
      <x:c r="E115" s="26" t="str">
        <x:v>gpt-5.5</x:v>
      </x:c>
      <x:c r="F115" s="28" t="n">
        <x:v>413429750</x:v>
      </x:c>
      <x:c r="G115" s="28" t="n">
        <x:v>17712374</x:v>
      </x:c>
      <x:c r="H115" s="29" t="n">
        <x:f>'Pricing'!$D$7</x:f>
        <x:v>5</x:v>
      </x:c>
      <x:c r="I115" s="30" t="n">
        <x:f>IF($Y115="No public API price","",$G115/'Pricing'!$M$2*$H115)</x:f>
        <x:v>88.56187</x:v>
      </x:c>
      <x:c r="J115" s="28" t="n">
        <x:v>395717376</x:v>
      </x:c>
      <x:c r="K115" s="29" t="n">
        <x:f>'Pricing'!$E$7</x:f>
        <x:v>0.5</x:v>
      </x:c>
      <x:c r="L115" s="30" t="n">
        <x:f>IF($Y115="No public API price","",$J115/'Pricing'!$M$2*$K115)</x:f>
        <x:v>197.858688</x:v>
      </x:c>
      <x:c r="M115" s="28" t="n">
        <x:v>0</x:v>
      </x:c>
      <x:c r="N115" s="29" t="n">
        <x:f>'Pricing'!$F$7</x:f>
        <x:v>0</x:v>
      </x:c>
      <x:c r="O115" s="30" t="n">
        <x:f>IF($Y115="No public API price","",$M115/'Pricing'!$M$2*$N115)</x:f>
        <x:v>0</x:v>
      </x:c>
      <x:c r="P115" s="28" t="n">
        <x:v>0</x:v>
      </x:c>
      <x:c r="Q115" s="29" t="n">
        <x:f>'Pricing'!$G$7</x:f>
        <x:v>0</x:v>
      </x:c>
      <x:c r="R115" s="30" t="n">
        <x:f>IF($Y115="No public API price","",$P115/'Pricing'!$M$2*$Q115)</x:f>
        <x:v>0</x:v>
      </x:c>
      <x:c r="S115" s="28" t="n">
        <x:v>1067511</x:v>
      </x:c>
      <x:c r="T115" s="29" t="n">
        <x:f>'Pricing'!$H$7</x:f>
        <x:v>30</x:v>
      </x:c>
      <x:c r="U115" s="30" t="n">
        <x:f>IF($Y115="No public API price","",$S115/'Pricing'!$M$2*$T115)</x:f>
        <x:v>32.025330000000004</x:v>
      </x:c>
      <x:c r="V115" s="28" t="n">
        <x:v>282400</x:v>
      </x:c>
      <x:c r="W115" s="28" t="n">
        <x:v>414497261</x:v>
      </x:c>
      <x:c r="X115" s="30" t="n">
        <x:f>IF($Y115="No public API price","",SUM($I115,$L115,$O115,$R115,$U115))</x:f>
        <x:v>318.445888</x:v>
      </x:c>
      <x:c r="Y115" s="26" t="str">
        <x:f>'Pricing'!$C$7</x:f>
        <x:v>Published</x:v>
      </x:c>
    </x:row>
    <x:row r="116" ht="20" customHeight="1">
      <x:c r="A116" s="25" t="str">
        <x:v>2026-07-09</x:v>
      </x:c>
      <x:c r="B116" s="26" t="str">
        <x:v>July</x:v>
      </x:c>
      <x:c r="C116" s="27" t="n">
        <x:v>2026</x:v>
      </x:c>
      <x:c r="D116" s="26" t="str">
        <x:v>OpenAI</x:v>
      </x:c>
      <x:c r="E116" s="26" t="str">
        <x:v>gpt-5.6-sol</x:v>
      </x:c>
      <x:c r="F116" s="28" t="n">
        <x:v>1305035367</x:v>
      </x:c>
      <x:c r="G116" s="28" t="n">
        <x:v>30531431</x:v>
      </x:c>
      <x:c r="H116" s="29" t="n">
        <x:f>'Pricing'!$D$9</x:f>
        <x:v>5</x:v>
      </x:c>
      <x:c r="I116" s="30" t="n">
        <x:f>IF($Y116="No public API price","",$G116/'Pricing'!$M$2*$H116)</x:f>
        <x:v>152.65715500000002</x:v>
      </x:c>
      <x:c r="J116" s="28" t="n">
        <x:v>1274503936</x:v>
      </x:c>
      <x:c r="K116" s="29" t="n">
        <x:f>'Pricing'!$E$9</x:f>
        <x:v>0.5</x:v>
      </x:c>
      <x:c r="L116" s="30" t="n">
        <x:f>IF($Y116="No public API price","",$J116/'Pricing'!$M$2*$K116)</x:f>
        <x:v>637.251968</x:v>
      </x:c>
      <x:c r="M116" s="28" t="n">
        <x:v>0</x:v>
      </x:c>
      <x:c r="N116" s="29" t="n">
        <x:f>'Pricing'!$F$9</x:f>
        <x:v>6.25</x:v>
      </x:c>
      <x:c r="O116" s="30" t="n">
        <x:f>IF($Y116="No public API price","",$M116/'Pricing'!$M$2*$N116)</x:f>
        <x:v>0</x:v>
      </x:c>
      <x:c r="P116" s="28" t="n">
        <x:v>0</x:v>
      </x:c>
      <x:c r="Q116" s="29" t="n">
        <x:f>'Pricing'!$G$9</x:f>
        <x:v>6.25</x:v>
      </x:c>
      <x:c r="R116" s="30" t="n">
        <x:f>IF($Y116="No public API price","",$P116/'Pricing'!$M$2*$Q116)</x:f>
        <x:v>0</x:v>
      </x:c>
      <x:c r="S116" s="28" t="n">
        <x:v>2175889</x:v>
      </x:c>
      <x:c r="T116" s="29" t="n">
        <x:f>'Pricing'!$H$9</x:f>
        <x:v>30</x:v>
      </x:c>
      <x:c r="U116" s="30" t="n">
        <x:f>IF($Y116="No public API price","",$S116/'Pricing'!$M$2*$T116)</x:f>
        <x:v>65.27667000000001</x:v>
      </x:c>
      <x:c r="V116" s="28" t="n">
        <x:v>614481</x:v>
      </x:c>
      <x:c r="W116" s="28" t="n">
        <x:v>1307211256</x:v>
      </x:c>
      <x:c r="X116" s="30" t="n">
        <x:f>IF($Y116="No public API price","",SUM($I116,$L116,$O116,$R116,$U116))</x:f>
        <x:v>855.185793</x:v>
      </x:c>
      <x:c r="Y116" s="26" t="str">
        <x:f>'Pricing'!$C$9</x:f>
        <x:v>Published</x:v>
      </x:c>
    </x:row>
    <x:row r="117" ht="20" customHeight="1">
      <x:c r="A117" s="25" t="str">
        <x:v>2026-07-10</x:v>
      </x:c>
      <x:c r="B117" s="26" t="str">
        <x:v>July</x:v>
      </x:c>
      <x:c r="C117" s="27" t="n">
        <x:v>2026</x:v>
      </x:c>
      <x:c r="D117" s="26" t="str">
        <x:v>OpenAI</x:v>
      </x:c>
      <x:c r="E117" s="26" t="str">
        <x:v>gpt-5.5</x:v>
      </x:c>
      <x:c r="F117" s="28" t="n">
        <x:v>2997497</x:v>
      </x:c>
      <x:c r="G117" s="28" t="n">
        <x:v>657913</x:v>
      </x:c>
      <x:c r="H117" s="29" t="n">
        <x:f>'Pricing'!$D$7</x:f>
        <x:v>5</x:v>
      </x:c>
      <x:c r="I117" s="30" t="n">
        <x:f>IF($Y117="No public API price","",$G117/'Pricing'!$M$2*$H117)</x:f>
        <x:v>3.2895649999999996</x:v>
      </x:c>
      <x:c r="J117" s="28" t="n">
        <x:v>2339584</x:v>
      </x:c>
      <x:c r="K117" s="29" t="n">
        <x:f>'Pricing'!$E$7</x:f>
        <x:v>0.5</x:v>
      </x:c>
      <x:c r="L117" s="30" t="n">
        <x:f>IF($Y117="No public API price","",$J117/'Pricing'!$M$2*$K117)</x:f>
        <x:v>1.169792</x:v>
      </x:c>
      <x:c r="M117" s="28" t="n">
        <x:v>0</x:v>
      </x:c>
      <x:c r="N117" s="29" t="n">
        <x:f>'Pricing'!$F$7</x:f>
        <x:v>0</x:v>
      </x:c>
      <x:c r="O117" s="30" t="n">
        <x:f>IF($Y117="No public API price","",$M117/'Pricing'!$M$2*$N117)</x:f>
        <x:v>0</x:v>
      </x:c>
      <x:c r="P117" s="28" t="n">
        <x:v>0</x:v>
      </x:c>
      <x:c r="Q117" s="29" t="n">
        <x:f>'Pricing'!$G$7</x:f>
        <x:v>0</x:v>
      </x:c>
      <x:c r="R117" s="30" t="n">
        <x:f>IF($Y117="No public API price","",$P117/'Pricing'!$M$2*$Q117)</x:f>
        <x:v>0</x:v>
      </x:c>
      <x:c r="S117" s="28" t="n">
        <x:v>14988</x:v>
      </x:c>
      <x:c r="T117" s="29" t="n">
        <x:f>'Pricing'!$H$7</x:f>
        <x:v>30</x:v>
      </x:c>
      <x:c r="U117" s="30" t="n">
        <x:f>IF($Y117="No public API price","",$S117/'Pricing'!$M$2*$T117)</x:f>
        <x:v>0.44964</x:v>
      </x:c>
      <x:c r="V117" s="28" t="n">
        <x:v>4118</x:v>
      </x:c>
      <x:c r="W117" s="28" t="n">
        <x:v>3012485</x:v>
      </x:c>
      <x:c r="X117" s="30" t="n">
        <x:f>IF($Y117="No public API price","",SUM($I117,$L117,$O117,$R117,$U117))</x:f>
        <x:v>4.908996999999999</x:v>
      </x:c>
      <x:c r="Y117" s="26" t="str">
        <x:f>'Pricing'!$C$7</x:f>
        <x:v>Published</x:v>
      </x:c>
    </x:row>
    <x:row r="118" ht="20" customHeight="1">
      <x:c r="A118" s="25" t="str">
        <x:v>2026-07-10</x:v>
      </x:c>
      <x:c r="B118" s="26" t="str">
        <x:v>July</x:v>
      </x:c>
      <x:c r="C118" s="27" t="n">
        <x:v>2026</x:v>
      </x:c>
      <x:c r="D118" s="26" t="str">
        <x:v>OpenAI</x:v>
      </x:c>
      <x:c r="E118" s="26" t="str">
        <x:v>gpt-5.6-luna</x:v>
      </x:c>
      <x:c r="F118" s="28" t="n">
        <x:v>1021326</x:v>
      </x:c>
      <x:c r="G118" s="28" t="n">
        <x:v>78734</x:v>
      </x:c>
      <x:c r="H118" s="29" t="n">
        <x:f>'Pricing'!$D$8</x:f>
        <x:v>1</x:v>
      </x:c>
      <x:c r="I118" s="30" t="n">
        <x:f>IF($Y118="No public API price","",$G118/'Pricing'!$M$2*$H118)</x:f>
        <x:v>0.078734</x:v>
      </x:c>
      <x:c r="J118" s="28" t="n">
        <x:v>942592</x:v>
      </x:c>
      <x:c r="K118" s="29" t="n">
        <x:f>'Pricing'!$E$8</x:f>
        <x:v>0.1</x:v>
      </x:c>
      <x:c r="L118" s="30" t="n">
        <x:f>IF($Y118="No public API price","",$J118/'Pricing'!$M$2*$K118)</x:f>
        <x:v>0.0942592</x:v>
      </x:c>
      <x:c r="M118" s="28" t="n">
        <x:v>0</x:v>
      </x:c>
      <x:c r="N118" s="29" t="n">
        <x:f>'Pricing'!$F$8</x:f>
        <x:v>1.25</x:v>
      </x:c>
      <x:c r="O118" s="30" t="n">
        <x:f>IF($Y118="No public API price","",$M118/'Pricing'!$M$2*$N118)</x:f>
        <x:v>0</x:v>
      </x:c>
      <x:c r="P118" s="28" t="n">
        <x:v>0</x:v>
      </x:c>
      <x:c r="Q118" s="29" t="n">
        <x:f>'Pricing'!$G$8</x:f>
        <x:v>1.25</x:v>
      </x:c>
      <x:c r="R118" s="30" t="n">
        <x:f>IF($Y118="No public API price","",$P118/'Pricing'!$M$2*$Q118)</x:f>
        <x:v>0</x:v>
      </x:c>
      <x:c r="S118" s="28" t="n">
        <x:v>1559</x:v>
      </x:c>
      <x:c r="T118" s="29" t="n">
        <x:f>'Pricing'!$H$8</x:f>
        <x:v>6</x:v>
      </x:c>
      <x:c r="U118" s="30" t="n">
        <x:f>IF($Y118="No public API price","",$S118/'Pricing'!$M$2*$T118)</x:f>
        <x:v>0.009354000000000001</x:v>
      </x:c>
      <x:c r="V118" s="28" t="n">
        <x:v>219</x:v>
      </x:c>
      <x:c r="W118" s="28" t="n">
        <x:v>1022885</x:v>
      </x:c>
      <x:c r="X118" s="30" t="n">
        <x:f>IF($Y118="No public API price","",SUM($I118,$L118,$O118,$R118,$U118))</x:f>
        <x:v>0.18234720000000001</x:v>
      </x:c>
      <x:c r="Y118" s="26" t="str">
        <x:f>'Pricing'!$C$8</x:f>
        <x:v>Published</x:v>
      </x:c>
    </x:row>
    <x:row r="119" ht="20" customHeight="1">
      <x:c r="A119" s="25" t="str">
        <x:v>2026-07-10</x:v>
      </x:c>
      <x:c r="B119" s="26" t="str">
        <x:v>July</x:v>
      </x:c>
      <x:c r="C119" s="27" t="n">
        <x:v>2026</x:v>
      </x:c>
      <x:c r="D119" s="26" t="str">
        <x:v>OpenAI</x:v>
      </x:c>
      <x:c r="E119" s="26" t="str">
        <x:v>gpt-5.6-sol</x:v>
      </x:c>
      <x:c r="F119" s="28" t="n">
        <x:v>579975901</x:v>
      </x:c>
      <x:c r="G119" s="28" t="n">
        <x:v>12097757</x:v>
      </x:c>
      <x:c r="H119" s="29" t="n">
        <x:f>'Pricing'!$D$9</x:f>
        <x:v>5</x:v>
      </x:c>
      <x:c r="I119" s="30" t="n">
        <x:f>IF($Y119="No public API price","",$G119/'Pricing'!$M$2*$H119)</x:f>
        <x:v>60.488785</x:v>
      </x:c>
      <x:c r="J119" s="28" t="n">
        <x:v>567878144</x:v>
      </x:c>
      <x:c r="K119" s="29" t="n">
        <x:f>'Pricing'!$E$9</x:f>
        <x:v>0.5</x:v>
      </x:c>
      <x:c r="L119" s="30" t="n">
        <x:f>IF($Y119="No public API price","",$J119/'Pricing'!$M$2*$K119)</x:f>
        <x:v>283.939072</x:v>
      </x:c>
      <x:c r="M119" s="28" t="n">
        <x:v>0</x:v>
      </x:c>
      <x:c r="N119" s="29" t="n">
        <x:f>'Pricing'!$F$9</x:f>
        <x:v>6.25</x:v>
      </x:c>
      <x:c r="O119" s="30" t="n">
        <x:f>IF($Y119="No public API price","",$M119/'Pricing'!$M$2*$N119)</x:f>
        <x:v>0</x:v>
      </x:c>
      <x:c r="P119" s="28" t="n">
        <x:v>0</x:v>
      </x:c>
      <x:c r="Q119" s="29" t="n">
        <x:f>'Pricing'!$G$9</x:f>
        <x:v>6.25</x:v>
      </x:c>
      <x:c r="R119" s="30" t="n">
        <x:f>IF($Y119="No public API price","",$P119/'Pricing'!$M$2*$Q119)</x:f>
        <x:v>0</x:v>
      </x:c>
      <x:c r="S119" s="28" t="n">
        <x:v>971614</x:v>
      </x:c>
      <x:c r="T119" s="29" t="n">
        <x:f>'Pricing'!$H$9</x:f>
        <x:v>30</x:v>
      </x:c>
      <x:c r="U119" s="30" t="n">
        <x:f>IF($Y119="No public API price","",$S119/'Pricing'!$M$2*$T119)</x:f>
        <x:v>29.148419999999998</x:v>
      </x:c>
      <x:c r="V119" s="28" t="n">
        <x:v>246526</x:v>
      </x:c>
      <x:c r="W119" s="28" t="n">
        <x:v>580947515</x:v>
      </x:c>
      <x:c r="X119" s="30" t="n">
        <x:f>IF($Y119="No public API price","",SUM($I119,$L119,$O119,$R119,$U119))</x:f>
        <x:v>373.576277</x:v>
      </x:c>
      <x:c r="Y119" s="26" t="str">
        <x:f>'Pricing'!$C$9</x:f>
        <x:v>Published</x:v>
      </x:c>
    </x:row>
    <x:row r="120" ht="20" customHeight="1">
      <x:c r="A120" s="25" t="str">
        <x:v>2026-07-11</x:v>
      </x:c>
      <x:c r="B120" s="26" t="str">
        <x:v>July</x:v>
      </x:c>
      <x:c r="C120" s="27" t="n">
        <x:v>2026</x:v>
      </x:c>
      <x:c r="D120" s="26" t="str">
        <x:v>OpenAI</x:v>
      </x:c>
      <x:c r="E120" s="26" t="str">
        <x:v>gpt-5.6-sol</x:v>
      </x:c>
      <x:c r="F120" s="28" t="n">
        <x:v>9344820504</x:v>
      </x:c>
      <x:c r="G120" s="28" t="n">
        <x:v>132830488</x:v>
      </x:c>
      <x:c r="H120" s="29" t="n">
        <x:f>'Pricing'!$D$9</x:f>
        <x:v>5</x:v>
      </x:c>
      <x:c r="I120" s="30" t="n">
        <x:f>IF($Y120="No public API price","",$G120/'Pricing'!$M$2*$H120)</x:f>
        <x:v>664.1524400000001</x:v>
      </x:c>
      <x:c r="J120" s="28" t="n">
        <x:v>9211990016</x:v>
      </x:c>
      <x:c r="K120" s="29" t="n">
        <x:f>'Pricing'!$E$9</x:f>
        <x:v>0.5</x:v>
      </x:c>
      <x:c r="L120" s="30" t="n">
        <x:f>IF($Y120="No public API price","",$J120/'Pricing'!$M$2*$K120)</x:f>
        <x:v>4605.995008</x:v>
      </x:c>
      <x:c r="M120" s="28" t="n">
        <x:v>0</x:v>
      </x:c>
      <x:c r="N120" s="29" t="n">
        <x:f>'Pricing'!$F$9</x:f>
        <x:v>6.25</x:v>
      </x:c>
      <x:c r="O120" s="30" t="n">
        <x:f>IF($Y120="No public API price","",$M120/'Pricing'!$M$2*$N120)</x:f>
        <x:v>0</x:v>
      </x:c>
      <x:c r="P120" s="28" t="n">
        <x:v>0</x:v>
      </x:c>
      <x:c r="Q120" s="29" t="n">
        <x:f>'Pricing'!$G$9</x:f>
        <x:v>6.25</x:v>
      </x:c>
      <x:c r="R120" s="30" t="n">
        <x:f>IF($Y120="No public API price","",$P120/'Pricing'!$M$2*$Q120)</x:f>
        <x:v>0</x:v>
      </x:c>
      <x:c r="S120" s="28" t="n">
        <x:v>11309988</x:v>
      </x:c>
      <x:c r="T120" s="29" t="n">
        <x:f>'Pricing'!$H$9</x:f>
        <x:v>30</x:v>
      </x:c>
      <x:c r="U120" s="30" t="n">
        <x:f>IF($Y120="No public API price","",$S120/'Pricing'!$M$2*$T120)</x:f>
        <x:v>339.29964</x:v>
      </x:c>
      <x:c r="V120" s="28" t="n">
        <x:v>2729365</x:v>
      </x:c>
      <x:c r="W120" s="28" t="n">
        <x:v>9356130492</x:v>
      </x:c>
      <x:c r="X120" s="30" t="n">
        <x:f>IF($Y120="No public API price","",SUM($I120,$L120,$O120,$R120,$U120))</x:f>
        <x:v>5609.447088</x:v>
      </x:c>
      <x:c r="Y120" s="26" t="str">
        <x:f>'Pricing'!$C$9</x:f>
        <x:v>Published</x:v>
      </x:c>
    </x:row>
    <x:row r="121" ht="20" customHeight="1">
      <x:c r="A121" s="25" t="str">
        <x:v>2026-07-12</x:v>
      </x:c>
      <x:c r="B121" s="26" t="str">
        <x:v>July</x:v>
      </x:c>
      <x:c r="C121" s="27" t="n">
        <x:v>2026</x:v>
      </x:c>
      <x:c r="D121" s="26" t="str">
        <x:v>OpenAI</x:v>
      </x:c>
      <x:c r="E121" s="26" t="str">
        <x:v>gpt-5.6-sol</x:v>
      </x:c>
      <x:c r="F121" s="28" t="n">
        <x:v>21001526062</x:v>
      </x:c>
      <x:c r="G121" s="28" t="n">
        <x:v>302458158</x:v>
      </x:c>
      <x:c r="H121" s="29" t="n">
        <x:f>'Pricing'!$D$9</x:f>
        <x:v>5</x:v>
      </x:c>
      <x:c r="I121" s="30" t="n">
        <x:f>IF($Y121="No public API price","",$G121/'Pricing'!$M$2*$H121)</x:f>
        <x:v>1512.29079</x:v>
      </x:c>
      <x:c r="J121" s="28" t="n">
        <x:v>20699067904</x:v>
      </x:c>
      <x:c r="K121" s="29" t="n">
        <x:f>'Pricing'!$E$9</x:f>
        <x:v>0.5</x:v>
      </x:c>
      <x:c r="L121" s="30" t="n">
        <x:f>IF($Y121="No public API price","",$J121/'Pricing'!$M$2*$K121)</x:f>
        <x:v>10349.533952</x:v>
      </x:c>
      <x:c r="M121" s="28" t="n">
        <x:v>0</x:v>
      </x:c>
      <x:c r="N121" s="29" t="n">
        <x:f>'Pricing'!$F$9</x:f>
        <x:v>6.25</x:v>
      </x:c>
      <x:c r="O121" s="30" t="n">
        <x:f>IF($Y121="No public API price","",$M121/'Pricing'!$M$2*$N121)</x:f>
        <x:v>0</x:v>
      </x:c>
      <x:c r="P121" s="28" t="n">
        <x:v>0</x:v>
      </x:c>
      <x:c r="Q121" s="29" t="n">
        <x:f>'Pricing'!$G$9</x:f>
        <x:v>6.25</x:v>
      </x:c>
      <x:c r="R121" s="30" t="n">
        <x:f>IF($Y121="No public API price","",$P121/'Pricing'!$M$2*$Q121)</x:f>
        <x:v>0</x:v>
      </x:c>
      <x:c r="S121" s="28" t="n">
        <x:v>20181187</x:v>
      </x:c>
      <x:c r="T121" s="29" t="n">
        <x:f>'Pricing'!$H$9</x:f>
        <x:v>30</x:v>
      </x:c>
      <x:c r="U121" s="30" t="n">
        <x:f>IF($Y121="No public API price","",$S121/'Pricing'!$M$2*$T121)</x:f>
        <x:v>605.43561</x:v>
      </x:c>
      <x:c r="V121" s="28" t="n">
        <x:v>4639899</x:v>
      </x:c>
      <x:c r="W121" s="28" t="n">
        <x:v>21021707249</x:v>
      </x:c>
      <x:c r="X121" s="30" t="n">
        <x:f>IF($Y121="No public API price","",SUM($I121,$L121,$O121,$R121,$U121))</x:f>
        <x:v>12467.260352000001</x:v>
      </x:c>
      <x:c r="Y121" s="26" t="str">
        <x:f>'Pricing'!$C$9</x:f>
        <x:v>Published</x:v>
      </x:c>
    </x:row>
    <x:row r="122" ht="20" customHeight="1">
      <x:c r="A122" s="25" t="str">
        <x:v>2026-07-13</x:v>
      </x:c>
      <x:c r="B122" s="26" t="str">
        <x:v>July</x:v>
      </x:c>
      <x:c r="C122" s="27" t="n">
        <x:v>2026</x:v>
      </x:c>
      <x:c r="D122" s="26" t="str">
        <x:v>OpenAI</x:v>
      </x:c>
      <x:c r="E122" s="26" t="str">
        <x:v>gpt-5.5</x:v>
      </x:c>
      <x:c r="F122" s="28" t="n">
        <x:v>90270649</x:v>
      </x:c>
      <x:c r="G122" s="28" t="n">
        <x:v>5384761</x:v>
      </x:c>
      <x:c r="H122" s="29" t="n">
        <x:f>'Pricing'!$D$7</x:f>
        <x:v>5</x:v>
      </x:c>
      <x:c r="I122" s="30" t="n">
        <x:f>IF($Y122="No public API price","",$G122/'Pricing'!$M$2*$H122)</x:f>
        <x:v>26.923805</x:v>
      </x:c>
      <x:c r="J122" s="28" t="n">
        <x:v>84885888</x:v>
      </x:c>
      <x:c r="K122" s="29" t="n">
        <x:f>'Pricing'!$E$7</x:f>
        <x:v>0.5</x:v>
      </x:c>
      <x:c r="L122" s="30" t="n">
        <x:f>IF($Y122="No public API price","",$J122/'Pricing'!$M$2*$K122)</x:f>
        <x:v>42.442944</x:v>
      </x:c>
      <x:c r="M122" s="28" t="n">
        <x:v>0</x:v>
      </x:c>
      <x:c r="N122" s="29" t="n">
        <x:f>'Pricing'!$F$7</x:f>
        <x:v>0</x:v>
      </x:c>
      <x:c r="O122" s="30" t="n">
        <x:f>IF($Y122="No public API price","",$M122/'Pricing'!$M$2*$N122)</x:f>
        <x:v>0</x:v>
      </x:c>
      <x:c r="P122" s="28" t="n">
        <x:v>0</x:v>
      </x:c>
      <x:c r="Q122" s="29" t="n">
        <x:f>'Pricing'!$G$7</x:f>
        <x:v>0</x:v>
      </x:c>
      <x:c r="R122" s="30" t="n">
        <x:f>IF($Y122="No public API price","",$P122/'Pricing'!$M$2*$Q122)</x:f>
        <x:v>0</x:v>
      </x:c>
      <x:c r="S122" s="28" t="n">
        <x:v>326943</x:v>
      </x:c>
      <x:c r="T122" s="29" t="n">
        <x:f>'Pricing'!$H$7</x:f>
        <x:v>30</x:v>
      </x:c>
      <x:c r="U122" s="30" t="n">
        <x:f>IF($Y122="No public API price","",$S122/'Pricing'!$M$2*$T122)</x:f>
        <x:v>9.80829</x:v>
      </x:c>
      <x:c r="V122" s="28" t="n">
        <x:v>142083</x:v>
      </x:c>
      <x:c r="W122" s="28" t="n">
        <x:v>90597592</x:v>
      </x:c>
      <x:c r="X122" s="30" t="n">
        <x:f>IF($Y122="No public API price","",SUM($I122,$L122,$O122,$R122,$U122))</x:f>
        <x:v>79.175039</x:v>
      </x:c>
      <x:c r="Y122" s="26" t="str">
        <x:f>'Pricing'!$C$7</x:f>
        <x:v>Published</x:v>
      </x:c>
    </x:row>
    <x:row r="123" ht="20" customHeight="1">
      <x:c r="A123" s="25" t="str">
        <x:v>2026-07-13</x:v>
      </x:c>
      <x:c r="B123" s="26" t="str">
        <x:v>July</x:v>
      </x:c>
      <x:c r="C123" s="27" t="n">
        <x:v>2026</x:v>
      </x:c>
      <x:c r="D123" s="26" t="str">
        <x:v>OpenAI</x:v>
      </x:c>
      <x:c r="E123" s="26" t="str">
        <x:v>gpt-5.6-sol</x:v>
      </x:c>
      <x:c r="F123" s="28" t="n">
        <x:v>45554540296</x:v>
      </x:c>
      <x:c r="G123" s="28" t="n">
        <x:v>714965512</x:v>
      </x:c>
      <x:c r="H123" s="29" t="n">
        <x:f>'Pricing'!$D$9</x:f>
        <x:v>5</x:v>
      </x:c>
      <x:c r="I123" s="30" t="n">
        <x:f>IF($Y123="No public API price","",$G123/'Pricing'!$M$2*$H123)</x:f>
        <x:v>3574.8275599999997</x:v>
      </x:c>
      <x:c r="J123" s="28" t="n">
        <x:v>44839574784</x:v>
      </x:c>
      <x:c r="K123" s="29" t="n">
        <x:f>'Pricing'!$E$9</x:f>
        <x:v>0.5</x:v>
      </x:c>
      <x:c r="L123" s="30" t="n">
        <x:f>IF($Y123="No public API price","",$J123/'Pricing'!$M$2*$K123)</x:f>
        <x:v>22419.787392</x:v>
      </x:c>
      <x:c r="M123" s="28" t="n">
        <x:v>0</x:v>
      </x:c>
      <x:c r="N123" s="29" t="n">
        <x:f>'Pricing'!$F$9</x:f>
        <x:v>6.25</x:v>
      </x:c>
      <x:c r="O123" s="30" t="n">
        <x:f>IF($Y123="No public API price","",$M123/'Pricing'!$M$2*$N123)</x:f>
        <x:v>0</x:v>
      </x:c>
      <x:c r="P123" s="28" t="n">
        <x:v>0</x:v>
      </x:c>
      <x:c r="Q123" s="29" t="n">
        <x:f>'Pricing'!$G$9</x:f>
        <x:v>6.25</x:v>
      </x:c>
      <x:c r="R123" s="30" t="n">
        <x:f>IF($Y123="No public API price","",$P123/'Pricing'!$M$2*$Q123)</x:f>
        <x:v>0</x:v>
      </x:c>
      <x:c r="S123" s="28" t="n">
        <x:v>47864063</x:v>
      </x:c>
      <x:c r="T123" s="29" t="n">
        <x:f>'Pricing'!$H$9</x:f>
        <x:v>30</x:v>
      </x:c>
      <x:c r="U123" s="30" t="n">
        <x:f>IF($Y123="No public API price","",$S123/'Pricing'!$M$2*$T123)</x:f>
        <x:v>1435.92189</x:v>
      </x:c>
      <x:c r="V123" s="28" t="n">
        <x:v>11474406</x:v>
      </x:c>
      <x:c r="W123" s="28" t="n">
        <x:v>45602404359</x:v>
      </x:c>
      <x:c r="X123" s="30" t="n">
        <x:f>IF($Y123="No public API price","",SUM($I123,$L123,$O123,$R123,$U123))</x:f>
        <x:v>27430.536841999998</x:v>
      </x:c>
      <x:c r="Y123" s="26" t="str">
        <x:f>'Pricing'!$C$9</x:f>
        <x:v>Published</x:v>
      </x:c>
    </x:row>
    <x:row r="124" ht="20" customHeight="1">
      <x:c r="A124" s="25" t="str">
        <x:v>2026-07-14</x:v>
      </x:c>
      <x:c r="B124" s="26" t="str">
        <x:v>July</x:v>
      </x:c>
      <x:c r="C124" s="27" t="n">
        <x:v>2026</x:v>
      </x:c>
      <x:c r="D124" s="26" t="str">
        <x:v>OpenAI</x:v>
      </x:c>
      <x:c r="E124" s="26" t="str">
        <x:v>gpt-5.5</x:v>
      </x:c>
      <x:c r="F124" s="28" t="n">
        <x:v>1394963</x:v>
      </x:c>
      <x:c r="G124" s="28" t="n">
        <x:v>183187</x:v>
      </x:c>
      <x:c r="H124" s="29" t="n">
        <x:f>'Pricing'!$D$7</x:f>
        <x:v>5</x:v>
      </x:c>
      <x:c r="I124" s="30" t="n">
        <x:f>IF($Y124="No public API price","",$G124/'Pricing'!$M$2*$H124)</x:f>
        <x:v>0.9159349999999999</x:v>
      </x:c>
      <x:c r="J124" s="28" t="n">
        <x:v>1211776</x:v>
      </x:c>
      <x:c r="K124" s="29" t="n">
        <x:f>'Pricing'!$E$7</x:f>
        <x:v>0.5</x:v>
      </x:c>
      <x:c r="L124" s="30" t="n">
        <x:f>IF($Y124="No public API price","",$J124/'Pricing'!$M$2*$K124)</x:f>
        <x:v>0.605888</x:v>
      </x:c>
      <x:c r="M124" s="28" t="n">
        <x:v>0</x:v>
      </x:c>
      <x:c r="N124" s="29" t="n">
        <x:f>'Pricing'!$F$7</x:f>
        <x:v>0</x:v>
      </x:c>
      <x:c r="O124" s="30" t="n">
        <x:f>IF($Y124="No public API price","",$M124/'Pricing'!$M$2*$N124)</x:f>
        <x:v>0</x:v>
      </x:c>
      <x:c r="P124" s="28" t="n">
        <x:v>0</x:v>
      </x:c>
      <x:c r="Q124" s="29" t="n">
        <x:f>'Pricing'!$G$7</x:f>
        <x:v>0</x:v>
      </x:c>
      <x:c r="R124" s="30" t="n">
        <x:f>IF($Y124="No public API price","",$P124/'Pricing'!$M$2*$Q124)</x:f>
        <x:v>0</x:v>
      </x:c>
      <x:c r="S124" s="28" t="n">
        <x:v>8048</x:v>
      </x:c>
      <x:c r="T124" s="29" t="n">
        <x:f>'Pricing'!$H$7</x:f>
        <x:v>30</x:v>
      </x:c>
      <x:c r="U124" s="30" t="n">
        <x:f>IF($Y124="No public API price","",$S124/'Pricing'!$M$2*$T124)</x:f>
        <x:v>0.24144</x:v>
      </x:c>
      <x:c r="V124" s="28" t="n">
        <x:v>3331</x:v>
      </x:c>
      <x:c r="W124" s="28" t="n">
        <x:v>1403011</x:v>
      </x:c>
      <x:c r="X124" s="30" t="n">
        <x:f>IF($Y124="No public API price","",SUM($I124,$L124,$O124,$R124,$U124))</x:f>
        <x:v>1.7632629999999998</x:v>
      </x:c>
      <x:c r="Y124" s="26" t="str">
        <x:f>'Pricing'!$C$7</x:f>
        <x:v>Published</x:v>
      </x:c>
    </x:row>
    <x:row r="125" ht="20" customHeight="1">
      <x:c r="A125" s="25" t="str">
        <x:v>2026-07-14</x:v>
      </x:c>
      <x:c r="B125" s="26" t="str">
        <x:v>July</x:v>
      </x:c>
      <x:c r="C125" s="27" t="n">
        <x:v>2026</x:v>
      </x:c>
      <x:c r="D125" s="26" t="str">
        <x:v>OpenAI</x:v>
      </x:c>
      <x:c r="E125" s="26" t="str">
        <x:v>gpt-5.6-luna</x:v>
      </x:c>
      <x:c r="F125" s="28" t="n">
        <x:v>2909731</x:v>
      </x:c>
      <x:c r="G125" s="28" t="n">
        <x:v>196899</x:v>
      </x:c>
      <x:c r="H125" s="29" t="n">
        <x:f>'Pricing'!$D$8</x:f>
        <x:v>1</x:v>
      </x:c>
      <x:c r="I125" s="30" t="n">
        <x:f>IF($Y125="No public API price","",$G125/'Pricing'!$M$2*$H125)</x:f>
        <x:v>0.196899</x:v>
      </x:c>
      <x:c r="J125" s="28" t="n">
        <x:v>2712832</x:v>
      </x:c>
      <x:c r="K125" s="29" t="n">
        <x:f>'Pricing'!$E$8</x:f>
        <x:v>0.1</x:v>
      </x:c>
      <x:c r="L125" s="30" t="n">
        <x:f>IF($Y125="No public API price","",$J125/'Pricing'!$M$2*$K125)</x:f>
        <x:v>0.2712832</x:v>
      </x:c>
      <x:c r="M125" s="28" t="n">
        <x:v>0</x:v>
      </x:c>
      <x:c r="N125" s="29" t="n">
        <x:f>'Pricing'!$F$8</x:f>
        <x:v>1.25</x:v>
      </x:c>
      <x:c r="O125" s="30" t="n">
        <x:f>IF($Y125="No public API price","",$M125/'Pricing'!$M$2*$N125)</x:f>
        <x:v>0</x:v>
      </x:c>
      <x:c r="P125" s="28" t="n">
        <x:v>0</x:v>
      </x:c>
      <x:c r="Q125" s="29" t="n">
        <x:f>'Pricing'!$G$8</x:f>
        <x:v>1.25</x:v>
      </x:c>
      <x:c r="R125" s="30" t="n">
        <x:f>IF($Y125="No public API price","",$P125/'Pricing'!$M$2*$Q125)</x:f>
        <x:v>0</x:v>
      </x:c>
      <x:c r="S125" s="28" t="n">
        <x:v>4460</x:v>
      </x:c>
      <x:c r="T125" s="29" t="n">
        <x:f>'Pricing'!$H$8</x:f>
        <x:v>6</x:v>
      </x:c>
      <x:c r="U125" s="30" t="n">
        <x:f>IF($Y125="No public API price","",$S125/'Pricing'!$M$2*$T125)</x:f>
        <x:v>0.026760000000000003</x:v>
      </x:c>
      <x:c r="V125" s="28" t="n">
        <x:v>1854</x:v>
      </x:c>
      <x:c r="W125" s="28" t="n">
        <x:v>2914191</x:v>
      </x:c>
      <x:c r="X125" s="30" t="n">
        <x:f>IF($Y125="No public API price","",SUM($I125,$L125,$O125,$R125,$U125))</x:f>
        <x:v>0.4949422</x:v>
      </x:c>
      <x:c r="Y125" s="26" t="str">
        <x:f>'Pricing'!$C$8</x:f>
        <x:v>Published</x:v>
      </x:c>
    </x:row>
    <x:row r="126" ht="20" customHeight="1">
      <x:c r="A126" s="25" t="str">
        <x:v>2026-07-14</x:v>
      </x:c>
      <x:c r="B126" s="26" t="str">
        <x:v>July</x:v>
      </x:c>
      <x:c r="C126" s="27" t="n">
        <x:v>2026</x:v>
      </x:c>
      <x:c r="D126" s="26" t="str">
        <x:v>OpenAI</x:v>
      </x:c>
      <x:c r="E126" s="26" t="str">
        <x:v>gpt-5.6-sol</x:v>
      </x:c>
      <x:c r="F126" s="28" t="n">
        <x:v>21092699868</x:v>
      </x:c>
      <x:c r="G126" s="28" t="n">
        <x:v>361903836</x:v>
      </x:c>
      <x:c r="H126" s="29" t="n">
        <x:f>'Pricing'!$D$9</x:f>
        <x:v>5</x:v>
      </x:c>
      <x:c r="I126" s="30" t="n">
        <x:f>IF($Y126="No public API price","",$G126/'Pricing'!$M$2*$H126)</x:f>
        <x:v>1809.51918</x:v>
      </x:c>
      <x:c r="J126" s="28" t="n">
        <x:v>20730796032</x:v>
      </x:c>
      <x:c r="K126" s="29" t="n">
        <x:f>'Pricing'!$E$9</x:f>
        <x:v>0.5</x:v>
      </x:c>
      <x:c r="L126" s="30" t="n">
        <x:f>IF($Y126="No public API price","",$J126/'Pricing'!$M$2*$K126)</x:f>
        <x:v>10365.398016</x:v>
      </x:c>
      <x:c r="M126" s="28" t="n">
        <x:v>0</x:v>
      </x:c>
      <x:c r="N126" s="29" t="n">
        <x:f>'Pricing'!$F$9</x:f>
        <x:v>6.25</x:v>
      </x:c>
      <x:c r="O126" s="30" t="n">
        <x:f>IF($Y126="No public API price","",$M126/'Pricing'!$M$2*$N126)</x:f>
        <x:v>0</x:v>
      </x:c>
      <x:c r="P126" s="28" t="n">
        <x:v>0</x:v>
      </x:c>
      <x:c r="Q126" s="29" t="n">
        <x:f>'Pricing'!$G$9</x:f>
        <x:v>6.25</x:v>
      </x:c>
      <x:c r="R126" s="30" t="n">
        <x:f>IF($Y126="No public API price","",$P126/'Pricing'!$M$2*$Q126)</x:f>
        <x:v>0</x:v>
      </x:c>
      <x:c r="S126" s="28" t="n">
        <x:v>24468868</x:v>
      </x:c>
      <x:c r="T126" s="29" t="n">
        <x:f>'Pricing'!$H$9</x:f>
        <x:v>30</x:v>
      </x:c>
      <x:c r="U126" s="30" t="n">
        <x:f>IF($Y126="No public API price","",$S126/'Pricing'!$M$2*$T126)</x:f>
        <x:v>734.06604</x:v>
      </x:c>
      <x:c r="V126" s="28" t="n">
        <x:v>5914704</x:v>
      </x:c>
      <x:c r="W126" s="28" t="n">
        <x:v>21117168736</x:v>
      </x:c>
      <x:c r="X126" s="30" t="n">
        <x:f>IF($Y126="No public API price","",SUM($I126,$L126,$O126,$R126,$U126))</x:f>
        <x:v>12908.983235999998</x:v>
      </x:c>
      <x:c r="Y126" s="26" t="str">
        <x:f>'Pricing'!$C$9</x:f>
        <x:v>Published</x:v>
      </x:c>
    </x:row>
    <x:row r="127" ht="20" customHeight="1">
      <x:c r="A127" s="25" t="str">
        <x:v>2026-07-15</x:v>
      </x:c>
      <x:c r="B127" s="26" t="str">
        <x:v>July</x:v>
      </x:c>
      <x:c r="C127" s="27" t="n">
        <x:v>2026</x:v>
      </x:c>
      <x:c r="D127" s="26" t="str">
        <x:v>OpenAI</x:v>
      </x:c>
      <x:c r="E127" s="26" t="str">
        <x:v>gpt-5.5</x:v>
      </x:c>
      <x:c r="F127" s="28" t="n">
        <x:v>1276380</x:v>
      </x:c>
      <x:c r="G127" s="28" t="n">
        <x:v>155228</x:v>
      </x:c>
      <x:c r="H127" s="29" t="n">
        <x:f>'Pricing'!$D$7</x:f>
        <x:v>5</x:v>
      </x:c>
      <x:c r="I127" s="30" t="n">
        <x:f>IF($Y127="No public API price","",$G127/'Pricing'!$M$2*$H127)</x:f>
        <x:v>0.77614</x:v>
      </x:c>
      <x:c r="J127" s="28" t="n">
        <x:v>1121152</x:v>
      </x:c>
      <x:c r="K127" s="29" t="n">
        <x:f>'Pricing'!$E$7</x:f>
        <x:v>0.5</x:v>
      </x:c>
      <x:c r="L127" s="30" t="n">
        <x:f>IF($Y127="No public API price","",$J127/'Pricing'!$M$2*$K127)</x:f>
        <x:v>0.560576</x:v>
      </x:c>
      <x:c r="M127" s="28" t="n">
        <x:v>0</x:v>
      </x:c>
      <x:c r="N127" s="29" t="n">
        <x:f>'Pricing'!$F$7</x:f>
        <x:v>0</x:v>
      </x:c>
      <x:c r="O127" s="30" t="n">
        <x:f>IF($Y127="No public API price","",$M127/'Pricing'!$M$2*$N127)</x:f>
        <x:v>0</x:v>
      </x:c>
      <x:c r="P127" s="28" t="n">
        <x:v>0</x:v>
      </x:c>
      <x:c r="Q127" s="29" t="n">
        <x:f>'Pricing'!$G$7</x:f>
        <x:v>0</x:v>
      </x:c>
      <x:c r="R127" s="30" t="n">
        <x:f>IF($Y127="No public API price","",$P127/'Pricing'!$M$2*$Q127)</x:f>
        <x:v>0</x:v>
      </x:c>
      <x:c r="S127" s="28" t="n">
        <x:v>8314</x:v>
      </x:c>
      <x:c r="T127" s="29" t="n">
        <x:f>'Pricing'!$H$7</x:f>
        <x:v>30</x:v>
      </x:c>
      <x:c r="U127" s="30" t="n">
        <x:f>IF($Y127="No public API price","",$S127/'Pricing'!$M$2*$T127)</x:f>
        <x:v>0.24942</x:v>
      </x:c>
      <x:c r="V127" s="28" t="n">
        <x:v>3281</x:v>
      </x:c>
      <x:c r="W127" s="28" t="n">
        <x:v>1284694</x:v>
      </x:c>
      <x:c r="X127" s="30" t="n">
        <x:f>IF($Y127="No public API price","",SUM($I127,$L127,$O127,$R127,$U127))</x:f>
        <x:v>1.586136</x:v>
      </x:c>
      <x:c r="Y127" s="26" t="str">
        <x:f>'Pricing'!$C$7</x:f>
        <x:v>Published</x:v>
      </x:c>
    </x:row>
    <x:row r="128" ht="20" customHeight="1">
      <x:c r="A128" s="25" t="str">
        <x:v>2026-07-15</x:v>
      </x:c>
      <x:c r="B128" s="26" t="str">
        <x:v>July</x:v>
      </x:c>
      <x:c r="C128" s="27" t="n">
        <x:v>2026</x:v>
      </x:c>
      <x:c r="D128" s="26" t="str">
        <x:v>OpenAI</x:v>
      </x:c>
      <x:c r="E128" s="26" t="str">
        <x:v>gpt-5.6-luna</x:v>
      </x:c>
      <x:c r="F128" s="28" t="n">
        <x:v>6869556</x:v>
      </x:c>
      <x:c r="G128" s="28" t="n">
        <x:v>623156</x:v>
      </x:c>
      <x:c r="H128" s="29" t="n">
        <x:f>'Pricing'!$D$8</x:f>
        <x:v>1</x:v>
      </x:c>
      <x:c r="I128" s="30" t="n">
        <x:f>IF($Y128="No public API price","",$G128/'Pricing'!$M$2*$H128)</x:f>
        <x:v>0.623156</x:v>
      </x:c>
      <x:c r="J128" s="28" t="n">
        <x:v>6246400</x:v>
      </x:c>
      <x:c r="K128" s="29" t="n">
        <x:f>'Pricing'!$E$8</x:f>
        <x:v>0.1</x:v>
      </x:c>
      <x:c r="L128" s="30" t="n">
        <x:f>IF($Y128="No public API price","",$J128/'Pricing'!$M$2*$K128)</x:f>
        <x:v>0.6246400000000001</x:v>
      </x:c>
      <x:c r="M128" s="28" t="n">
        <x:v>0</x:v>
      </x:c>
      <x:c r="N128" s="29" t="n">
        <x:f>'Pricing'!$F$8</x:f>
        <x:v>1.25</x:v>
      </x:c>
      <x:c r="O128" s="30" t="n">
        <x:f>IF($Y128="No public API price","",$M128/'Pricing'!$M$2*$N128)</x:f>
        <x:v>0</x:v>
      </x:c>
      <x:c r="P128" s="28" t="n">
        <x:v>0</x:v>
      </x:c>
      <x:c r="Q128" s="29" t="n">
        <x:f>'Pricing'!$G$8</x:f>
        <x:v>1.25</x:v>
      </x:c>
      <x:c r="R128" s="30" t="n">
        <x:f>IF($Y128="No public API price","",$P128/'Pricing'!$M$2*$Q128)</x:f>
        <x:v>0</x:v>
      </x:c>
      <x:c r="S128" s="28" t="n">
        <x:v>22720</x:v>
      </x:c>
      <x:c r="T128" s="29" t="n">
        <x:f>'Pricing'!$H$8</x:f>
        <x:v>6</x:v>
      </x:c>
      <x:c r="U128" s="30" t="n">
        <x:f>IF($Y128="No public API price","",$S128/'Pricing'!$M$2*$T128)</x:f>
        <x:v>0.13632</x:v>
      </x:c>
      <x:c r="V128" s="28" t="n">
        <x:v>5678</x:v>
      </x:c>
      <x:c r="W128" s="28" t="n">
        <x:v>6892276</x:v>
      </x:c>
      <x:c r="X128" s="30" t="n">
        <x:f>IF($Y128="No public API price","",SUM($I128,$L128,$O128,$R128,$U128))</x:f>
        <x:v>1.3841160000000001</x:v>
      </x:c>
      <x:c r="Y128" s="26" t="str">
        <x:f>'Pricing'!$C$8</x:f>
        <x:v>Published</x:v>
      </x:c>
    </x:row>
    <x:row r="129" ht="20" customHeight="1">
      <x:c r="A129" s="25" t="str">
        <x:v>2026-07-15</x:v>
      </x:c>
      <x:c r="B129" s="26" t="str">
        <x:v>July</x:v>
      </x:c>
      <x:c r="C129" s="27" t="n">
        <x:v>2026</x:v>
      </x:c>
      <x:c r="D129" s="26" t="str">
        <x:v>OpenAI</x:v>
      </x:c>
      <x:c r="E129" s="26" t="str">
        <x:v>gpt-5.6-sol</x:v>
      </x:c>
      <x:c r="F129" s="28" t="n">
        <x:v>4852750305</x:v>
      </x:c>
      <x:c r="G129" s="28" t="n">
        <x:v>104713185</x:v>
      </x:c>
      <x:c r="H129" s="29" t="n">
        <x:f>'Pricing'!$D$9</x:f>
        <x:v>5</x:v>
      </x:c>
      <x:c r="I129" s="30" t="n">
        <x:f>IF($Y129="No public API price","",$G129/'Pricing'!$M$2*$H129)</x:f>
        <x:v>523.565925</x:v>
      </x:c>
      <x:c r="J129" s="28" t="n">
        <x:v>4748037120</x:v>
      </x:c>
      <x:c r="K129" s="29" t="n">
        <x:f>'Pricing'!$E$9</x:f>
        <x:v>0.5</x:v>
      </x:c>
      <x:c r="L129" s="30" t="n">
        <x:f>IF($Y129="No public API price","",$J129/'Pricing'!$M$2*$K129)</x:f>
        <x:v>2374.01856</x:v>
      </x:c>
      <x:c r="M129" s="28" t="n">
        <x:v>0</x:v>
      </x:c>
      <x:c r="N129" s="29" t="n">
        <x:f>'Pricing'!$F$9</x:f>
        <x:v>6.25</x:v>
      </x:c>
      <x:c r="O129" s="30" t="n">
        <x:f>IF($Y129="No public API price","",$M129/'Pricing'!$M$2*$N129)</x:f>
        <x:v>0</x:v>
      </x:c>
      <x:c r="P129" s="28" t="n">
        <x:v>0</x:v>
      </x:c>
      <x:c r="Q129" s="29" t="n">
        <x:f>'Pricing'!$G$9</x:f>
        <x:v>6.25</x:v>
      </x:c>
      <x:c r="R129" s="30" t="n">
        <x:f>IF($Y129="No public API price","",$P129/'Pricing'!$M$2*$Q129)</x:f>
        <x:v>0</x:v>
      </x:c>
      <x:c r="S129" s="28" t="n">
        <x:v>8136721</x:v>
      </x:c>
      <x:c r="T129" s="29" t="n">
        <x:f>'Pricing'!$H$9</x:f>
        <x:v>30</x:v>
      </x:c>
      <x:c r="U129" s="30" t="n">
        <x:f>IF($Y129="No public API price","",$S129/'Pricing'!$M$2*$T129)</x:f>
        <x:v>244.10163</x:v>
      </x:c>
      <x:c r="V129" s="28" t="n">
        <x:v>1921823</x:v>
      </x:c>
      <x:c r="W129" s="28" t="n">
        <x:v>4860887026</x:v>
      </x:c>
      <x:c r="X129" s="30" t="n">
        <x:f>IF($Y129="No public API price","",SUM($I129,$L129,$O129,$R129,$U129))</x:f>
        <x:v>3141.686115</x:v>
      </x:c>
      <x:c r="Y129" s="26" t="str">
        <x:f>'Pricing'!$C$9</x:f>
        <x:v>Published</x:v>
      </x:c>
    </x:row>
    <x:row r="130" ht="20" customHeight="1">
      <x:c r="A130" s="25" t="str">
        <x:v>2026-07-16</x:v>
      </x:c>
      <x:c r="B130" s="26" t="str">
        <x:v>July</x:v>
      </x:c>
      <x:c r="C130" s="27" t="n">
        <x:v>2026</x:v>
      </x:c>
      <x:c r="D130" s="26" t="str">
        <x:v>OpenAI</x:v>
      </x:c>
      <x:c r="E130" s="26" t="str">
        <x:v>gpt-5.5</x:v>
      </x:c>
      <x:c r="F130" s="28" t="n">
        <x:v>3002193</x:v>
      </x:c>
      <x:c r="G130" s="28" t="n">
        <x:v>216657</x:v>
      </x:c>
      <x:c r="H130" s="29" t="n">
        <x:f>'Pricing'!$D$7</x:f>
        <x:v>5</x:v>
      </x:c>
      <x:c r="I130" s="30" t="n">
        <x:f>IF($Y130="No public API price","",$G130/'Pricing'!$M$2*$H130)</x:f>
        <x:v>1.083285</x:v>
      </x:c>
      <x:c r="J130" s="28" t="n">
        <x:v>2785536</x:v>
      </x:c>
      <x:c r="K130" s="29" t="n">
        <x:f>'Pricing'!$E$7</x:f>
        <x:v>0.5</x:v>
      </x:c>
      <x:c r="L130" s="30" t="n">
        <x:f>IF($Y130="No public API price","",$J130/'Pricing'!$M$2*$K130)</x:f>
        <x:v>1.392768</x:v>
      </x:c>
      <x:c r="M130" s="28" t="n">
        <x:v>0</x:v>
      </x:c>
      <x:c r="N130" s="29" t="n">
        <x:f>'Pricing'!$F$7</x:f>
        <x:v>0</x:v>
      </x:c>
      <x:c r="O130" s="30" t="n">
        <x:f>IF($Y130="No public API price","",$M130/'Pricing'!$M$2*$N130)</x:f>
        <x:v>0</x:v>
      </x:c>
      <x:c r="P130" s="28" t="n">
        <x:v>0</x:v>
      </x:c>
      <x:c r="Q130" s="29" t="n">
        <x:f>'Pricing'!$G$7</x:f>
        <x:v>0</x:v>
      </x:c>
      <x:c r="R130" s="30" t="n">
        <x:f>IF($Y130="No public API price","",$P130/'Pricing'!$M$2*$Q130)</x:f>
        <x:v>0</x:v>
      </x:c>
      <x:c r="S130" s="28" t="n">
        <x:v>7974</x:v>
      </x:c>
      <x:c r="T130" s="29" t="n">
        <x:f>'Pricing'!$H$7</x:f>
        <x:v>30</x:v>
      </x:c>
      <x:c r="U130" s="30" t="n">
        <x:f>IF($Y130="No public API price","",$S130/'Pricing'!$M$2*$T130)</x:f>
        <x:v>0.23922000000000002</x:v>
      </x:c>
      <x:c r="V130" s="28" t="n">
        <x:v>3453</x:v>
      </x:c>
      <x:c r="W130" s="28" t="n">
        <x:v>3010167</x:v>
      </x:c>
      <x:c r="X130" s="30" t="n">
        <x:f>IF($Y130="No public API price","",SUM($I130,$L130,$O130,$R130,$U130))</x:f>
        <x:v>2.7152730000000003</x:v>
      </x:c>
      <x:c r="Y130" s="26" t="str">
        <x:f>'Pricing'!$C$7</x:f>
        <x:v>Published</x:v>
      </x:c>
    </x:row>
    <x:row r="131" ht="20" customHeight="1">
      <x:c r="A131" s="25" t="str">
        <x:v>2026-07-16</x:v>
      </x:c>
      <x:c r="B131" s="26" t="str">
        <x:v>July</x:v>
      </x:c>
      <x:c r="C131" s="27" t="n">
        <x:v>2026</x:v>
      </x:c>
      <x:c r="D131" s="26" t="str">
        <x:v>OpenAI</x:v>
      </x:c>
      <x:c r="E131" s="26" t="str">
        <x:v>gpt-5.6-sol</x:v>
      </x:c>
      <x:c r="F131" s="28" t="n">
        <x:v>3129945547</x:v>
      </x:c>
      <x:c r="G131" s="28" t="n">
        <x:v>79145163</x:v>
      </x:c>
      <x:c r="H131" s="29" t="n">
        <x:f>'Pricing'!$D$9</x:f>
        <x:v>5</x:v>
      </x:c>
      <x:c r="I131" s="30" t="n">
        <x:f>IF($Y131="No public API price","",$G131/'Pricing'!$M$2*$H131)</x:f>
        <x:v>395.725815</x:v>
      </x:c>
      <x:c r="J131" s="28" t="n">
        <x:v>3050800384</x:v>
      </x:c>
      <x:c r="K131" s="29" t="n">
        <x:f>'Pricing'!$E$9</x:f>
        <x:v>0.5</x:v>
      </x:c>
      <x:c r="L131" s="30" t="n">
        <x:f>IF($Y131="No public API price","",$J131/'Pricing'!$M$2*$K131)</x:f>
        <x:v>1525.400192</x:v>
      </x:c>
      <x:c r="M131" s="28" t="n">
        <x:v>0</x:v>
      </x:c>
      <x:c r="N131" s="29" t="n">
        <x:f>'Pricing'!$F$9</x:f>
        <x:v>6.25</x:v>
      </x:c>
      <x:c r="O131" s="30" t="n">
        <x:f>IF($Y131="No public API price","",$M131/'Pricing'!$M$2*$N131)</x:f>
        <x:v>0</x:v>
      </x:c>
      <x:c r="P131" s="28" t="n">
        <x:v>0</x:v>
      </x:c>
      <x:c r="Q131" s="29" t="n">
        <x:f>'Pricing'!$G$9</x:f>
        <x:v>6.25</x:v>
      </x:c>
      <x:c r="R131" s="30" t="n">
        <x:f>IF($Y131="No public API price","",$P131/'Pricing'!$M$2*$Q131)</x:f>
        <x:v>0</x:v>
      </x:c>
      <x:c r="S131" s="28" t="n">
        <x:v>4709522</x:v>
      </x:c>
      <x:c r="T131" s="29" t="n">
        <x:f>'Pricing'!$H$9</x:f>
        <x:v>30</x:v>
      </x:c>
      <x:c r="U131" s="30" t="n">
        <x:f>IF($Y131="No public API price","",$S131/'Pricing'!$M$2*$T131)</x:f>
        <x:v>141.28566</x:v>
      </x:c>
      <x:c r="V131" s="28" t="n">
        <x:v>1322360</x:v>
      </x:c>
      <x:c r="W131" s="28" t="n">
        <x:v>3134655069</x:v>
      </x:c>
      <x:c r="X131" s="30" t="n">
        <x:f>IF($Y131="No public API price","",SUM($I131,$L131,$O131,$R131,$U131))</x:f>
        <x:v>2062.4116670000003</x:v>
      </x:c>
      <x:c r="Y131" s="26" t="str">
        <x:f>'Pricing'!$C$9</x:f>
        <x:v>Published</x:v>
      </x:c>
    </x:row>
    <x:row r="132" ht="20" customHeight="1">
      <x:c r="A132" s="25" t="str">
        <x:v>2026-07-17</x:v>
      </x:c>
      <x:c r="B132" s="26" t="str">
        <x:v>July</x:v>
      </x:c>
      <x:c r="C132" s="27" t="n">
        <x:v>2026</x:v>
      </x:c>
      <x:c r="D132" s="26" t="str">
        <x:v>OpenAI</x:v>
      </x:c>
      <x:c r="E132" s="26" t="str">
        <x:v>gpt-5.5</x:v>
      </x:c>
      <x:c r="F132" s="28" t="n">
        <x:v>940165</x:v>
      </x:c>
      <x:c r="G132" s="28" t="n">
        <x:v>133125</x:v>
      </x:c>
      <x:c r="H132" s="29" t="n">
        <x:f>'Pricing'!$D$7</x:f>
        <x:v>5</x:v>
      </x:c>
      <x:c r="I132" s="30" t="n">
        <x:f>IF($Y132="No public API price","",$G132/'Pricing'!$M$2*$H132)</x:f>
        <x:v>0.6656249999999999</x:v>
      </x:c>
      <x:c r="J132" s="28" t="n">
        <x:v>807040</x:v>
      </x:c>
      <x:c r="K132" s="29" t="n">
        <x:f>'Pricing'!$E$7</x:f>
        <x:v>0.5</x:v>
      </x:c>
      <x:c r="L132" s="30" t="n">
        <x:f>IF($Y132="No public API price","",$J132/'Pricing'!$M$2*$K132)</x:f>
        <x:v>0.40352</x:v>
      </x:c>
      <x:c r="M132" s="28" t="n">
        <x:v>0</x:v>
      </x:c>
      <x:c r="N132" s="29" t="n">
        <x:f>'Pricing'!$F$7</x:f>
        <x:v>0</x:v>
      </x:c>
      <x:c r="O132" s="30" t="n">
        <x:f>IF($Y132="No public API price","",$M132/'Pricing'!$M$2*$N132)</x:f>
        <x:v>0</x:v>
      </x:c>
      <x:c r="P132" s="28" t="n">
        <x:v>0</x:v>
      </x:c>
      <x:c r="Q132" s="29" t="n">
        <x:f>'Pricing'!$G$7</x:f>
        <x:v>0</x:v>
      </x:c>
      <x:c r="R132" s="30" t="n">
        <x:f>IF($Y132="No public API price","",$P132/'Pricing'!$M$2*$Q132)</x:f>
        <x:v>0</x:v>
      </x:c>
      <x:c r="S132" s="28" t="n">
        <x:v>6545</x:v>
      </x:c>
      <x:c r="T132" s="29" t="n">
        <x:f>'Pricing'!$H$7</x:f>
        <x:v>30</x:v>
      </x:c>
      <x:c r="U132" s="30" t="n">
        <x:f>IF($Y132="No public API price","",$S132/'Pricing'!$M$2*$T132)</x:f>
        <x:v>0.19635</x:v>
      </x:c>
      <x:c r="V132" s="28" t="n">
        <x:v>2711</x:v>
      </x:c>
      <x:c r="W132" s="28" t="n">
        <x:v>946710</x:v>
      </x:c>
      <x:c r="X132" s="30" t="n">
        <x:f>IF($Y132="No public API price","",SUM($I132,$L132,$O132,$R132,$U132))</x:f>
        <x:v>1.2654949999999998</x:v>
      </x:c>
      <x:c r="Y132" s="26" t="str">
        <x:f>'Pricing'!$C$7</x:f>
        <x:v>Published</x:v>
      </x:c>
    </x:row>
    <x:row r="133" ht="20" customHeight="1">
      <x:c r="A133" s="25" t="str">
        <x:v>2026-07-17</x:v>
      </x:c>
      <x:c r="B133" s="26" t="str">
        <x:v>July</x:v>
      </x:c>
      <x:c r="C133" s="27" t="n">
        <x:v>2026</x:v>
      </x:c>
      <x:c r="D133" s="26" t="str">
        <x:v>OpenAI</x:v>
      </x:c>
      <x:c r="E133" s="26" t="str">
        <x:v>gpt-5.6-sol</x:v>
      </x:c>
      <x:c r="F133" s="28" t="n">
        <x:v>1616814482</x:v>
      </x:c>
      <x:c r="G133" s="28" t="n">
        <x:v>38702738</x:v>
      </x:c>
      <x:c r="H133" s="29" t="n">
        <x:f>'Pricing'!$D$9</x:f>
        <x:v>5</x:v>
      </x:c>
      <x:c r="I133" s="30" t="n">
        <x:f>IF($Y133="No public API price","",$G133/'Pricing'!$M$2*$H133)</x:f>
        <x:v>193.51369</x:v>
      </x:c>
      <x:c r="J133" s="28" t="n">
        <x:v>1578111744</x:v>
      </x:c>
      <x:c r="K133" s="29" t="n">
        <x:f>'Pricing'!$E$9</x:f>
        <x:v>0.5</x:v>
      </x:c>
      <x:c r="L133" s="30" t="n">
        <x:f>IF($Y133="No public API price","",$J133/'Pricing'!$M$2*$K133)</x:f>
        <x:v>789.055872</x:v>
      </x:c>
      <x:c r="M133" s="28" t="n">
        <x:v>0</x:v>
      </x:c>
      <x:c r="N133" s="29" t="n">
        <x:f>'Pricing'!$F$9</x:f>
        <x:v>6.25</x:v>
      </x:c>
      <x:c r="O133" s="30" t="n">
        <x:f>IF($Y133="No public API price","",$M133/'Pricing'!$M$2*$N133)</x:f>
        <x:v>0</x:v>
      </x:c>
      <x:c r="P133" s="28" t="n">
        <x:v>0</x:v>
      </x:c>
      <x:c r="Q133" s="29" t="n">
        <x:f>'Pricing'!$G$9</x:f>
        <x:v>6.25</x:v>
      </x:c>
      <x:c r="R133" s="30" t="n">
        <x:f>IF($Y133="No public API price","",$P133/'Pricing'!$M$2*$Q133)</x:f>
        <x:v>0</x:v>
      </x:c>
      <x:c r="S133" s="28" t="n">
        <x:v>3212448</x:v>
      </x:c>
      <x:c r="T133" s="29" t="n">
        <x:f>'Pricing'!$H$9</x:f>
        <x:v>30</x:v>
      </x:c>
      <x:c r="U133" s="30" t="n">
        <x:f>IF($Y133="No public API price","",$S133/'Pricing'!$M$2*$T133)</x:f>
        <x:v>96.37344</x:v>
      </x:c>
      <x:c r="V133" s="28" t="n">
        <x:v>964624</x:v>
      </x:c>
      <x:c r="W133" s="28" t="n">
        <x:v>1620026930</x:v>
      </x:c>
      <x:c r="X133" s="30" t="n">
        <x:f>IF($Y133="No public API price","",SUM($I133,$L133,$O133,$R133,$U133))</x:f>
        <x:v>1078.943002</x:v>
      </x:c>
      <x:c r="Y133" s="26" t="str">
        <x:f>'Pricing'!$C$9</x:f>
        <x:v>Published</x:v>
      </x:c>
    </x:row>
    <x:row r="134" ht="20" customHeight="1">
      <x:c r="A134" s="25" t="str">
        <x:v>2026-07-18</x:v>
      </x:c>
      <x:c r="B134" s="26" t="str">
        <x:v>July</x:v>
      </x:c>
      <x:c r="C134" s="27" t="n">
        <x:v>2026</x:v>
      </x:c>
      <x:c r="D134" s="26" t="str">
        <x:v>OpenAI</x:v>
      </x:c>
      <x:c r="E134" s="26" t="str">
        <x:v>gpt-5.6-sol</x:v>
      </x:c>
      <x:c r="F134" s="28" t="n">
        <x:v>1460073048</x:v>
      </x:c>
      <x:c r="G134" s="28" t="n">
        <x:v>30119512</x:v>
      </x:c>
      <x:c r="H134" s="29" t="n">
        <x:f>'Pricing'!$D$9</x:f>
        <x:v>5</x:v>
      </x:c>
      <x:c r="I134" s="30" t="n">
        <x:f>IF($Y134="No public API price","",$G134/'Pricing'!$M$2*$H134)</x:f>
        <x:v>150.59756</x:v>
      </x:c>
      <x:c r="J134" s="28" t="n">
        <x:v>1429953536</x:v>
      </x:c>
      <x:c r="K134" s="29" t="n">
        <x:f>'Pricing'!$E$9</x:f>
        <x:v>0.5</x:v>
      </x:c>
      <x:c r="L134" s="30" t="n">
        <x:f>IF($Y134="No public API price","",$J134/'Pricing'!$M$2*$K134)</x:f>
        <x:v>714.976768</x:v>
      </x:c>
      <x:c r="M134" s="28" t="n">
        <x:v>0</x:v>
      </x:c>
      <x:c r="N134" s="29" t="n">
        <x:f>'Pricing'!$F$9</x:f>
        <x:v>6.25</x:v>
      </x:c>
      <x:c r="O134" s="30" t="n">
        <x:f>IF($Y134="No public API price","",$M134/'Pricing'!$M$2*$N134)</x:f>
        <x:v>0</x:v>
      </x:c>
      <x:c r="P134" s="28" t="n">
        <x:v>0</x:v>
      </x:c>
      <x:c r="Q134" s="29" t="n">
        <x:f>'Pricing'!$G$9</x:f>
        <x:v>6.25</x:v>
      </x:c>
      <x:c r="R134" s="30" t="n">
        <x:f>IF($Y134="No public API price","",$P134/'Pricing'!$M$2*$Q134)</x:f>
        <x:v>0</x:v>
      </x:c>
      <x:c r="S134" s="28" t="n">
        <x:v>2986172</x:v>
      </x:c>
      <x:c r="T134" s="29" t="n">
        <x:f>'Pricing'!$H$9</x:f>
        <x:v>30</x:v>
      </x:c>
      <x:c r="U134" s="30" t="n">
        <x:f>IF($Y134="No public API price","",$S134/'Pricing'!$M$2*$T134)</x:f>
        <x:v>89.58516</x:v>
      </x:c>
      <x:c r="V134" s="28" t="n">
        <x:v>937086</x:v>
      </x:c>
      <x:c r="W134" s="28" t="n">
        <x:v>1463059220</x:v>
      </x:c>
      <x:c r="X134" s="30" t="n">
        <x:f>IF($Y134="No public API price","",SUM($I134,$L134,$O134,$R134,$U134))</x:f>
        <x:v>955.1594879999999</x:v>
      </x:c>
      <x:c r="Y134" s="26" t="str">
        <x:f>'Pricing'!$C$9</x:f>
        <x:v>Published</x:v>
      </x:c>
    </x:row>
  </x:sheetData>
  <x:pageMargins left="0.7" right="0.7" top="0.75" bottom="0.75" header="0.3" footer="0.3"/>
  <x:tableParts count="1">
    <x:tablePart xmlns:r="http://schemas.openxmlformats.org/officeDocument/2006/relationships" r:id="R6cb7da8b9c1141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2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2" hidden="0" customWidth="1"/>
  </x:cols>
  <x:sheetData>
    <x:row r="1" ht="42" customHeight="1">
      <x:c r="A1" s="21" t="str">
        <x:v>date</x:v>
      </x:c>
      <x:c r="B1" s="21" t="str">
        <x:v>month</x:v>
      </x:c>
      <x:c r="C1" s="21" t="str">
        <x:v>year</x:v>
      </x:c>
      <x:c r="D1" s="21" t="str">
        <x:v>provider</x:v>
      </x:c>
      <x:c r="E1" s="21" t="str">
        <x:v>model</x:v>
      </x:c>
      <x:c r="F1" s="21" t="str">
        <x:v>total_input_tokens</x:v>
      </x:c>
      <x:c r="G1" s="21" t="str">
        <x:v>base_input_tokens</x:v>
      </x:c>
      <x:c r="H1" s="21" t="str">
        <x:v>base_input_rate_per_1m</x:v>
      </x:c>
      <x:c r="I1" s="21" t="str">
        <x:v>base_input_cost_usd</x:v>
      </x:c>
      <x:c r="J1" s="21" t="str">
        <x:v>cache_read_tokens</x:v>
      </x:c>
      <x:c r="K1" s="21" t="str">
        <x:v>cache_read_rate_per_1m</x:v>
      </x:c>
      <x:c r="L1" s="21" t="str">
        <x:v>cache_read_cost_usd</x:v>
      </x:c>
      <x:c r="M1" s="21" t="str">
        <x:v>cache_write_5m_tokens</x:v>
      </x:c>
      <x:c r="N1" s="21" t="str">
        <x:v>cache_write_5m_rate_per_1m</x:v>
      </x:c>
      <x:c r="O1" s="21" t="str">
        <x:v>cache_write_5m_cost_usd</x:v>
      </x:c>
      <x:c r="P1" s="21" t="str">
        <x:v>cache_write_1h_tokens</x:v>
      </x:c>
      <x:c r="Q1" s="21" t="str">
        <x:v>cache_write_1h_rate_per_1m</x:v>
      </x:c>
      <x:c r="R1" s="21" t="str">
        <x:v>cache_write_1h_cost_usd</x:v>
      </x:c>
      <x:c r="S1" s="21" t="str">
        <x:v>output_tokens</x:v>
      </x:c>
      <x:c r="T1" s="21" t="str">
        <x:v>output_rate_per_1m</x:v>
      </x:c>
      <x:c r="U1" s="21" t="str">
        <x:v>output_cost_usd</x:v>
      </x:c>
      <x:c r="V1" s="21" t="str">
        <x:v>reasoning_output_tokens_included_in_output</x:v>
      </x:c>
      <x:c r="W1" s="21" t="str">
        <x:v>total_tokens</x:v>
      </x:c>
      <x:c r="X1" s="21" t="str">
        <x:v>total_cost_usd</x:v>
      </x:c>
      <x:c r="Y1" s="21" t="str">
        <x:v>pricing_status</x:v>
      </x:c>
    </x:row>
    <x:row r="2" ht="20" customHeight="1">
      <x:c r="A2" s="25" t="str">
        <x:v>2026-06-11</x:v>
      </x:c>
      <x:c r="B2" s="26" t="str">
        <x:v>June</x:v>
      </x:c>
      <x:c r="C2" s="27" t="n">
        <x:v>2026</x:v>
      </x:c>
      <x:c r="D2" s="26" t="str">
        <x:v>Anthropic</x:v>
      </x:c>
      <x:c r="E2" s="26" t="str">
        <x:v>claude-fable-5</x:v>
      </x:c>
      <x:c r="F2" s="28" t="n">
        <x:v>11304230</x:v>
      </x:c>
      <x:c r="G2" s="28" t="n">
        <x:v>90292</x:v>
      </x:c>
      <x:c r="H2" s="29" t="n">
        <x:f>'Pricing'!$D$10</x:f>
        <x:v>10</x:v>
      </x:c>
      <x:c r="I2" s="30" t="n">
        <x:f>IF($Y2="No public API price","",$G2/'Pricing'!$M$2*$H2)</x:f>
        <x:v>0.90292</x:v>
      </x:c>
      <x:c r="J2" s="28" t="n">
        <x:v>10339215</x:v>
      </x:c>
      <x:c r="K2" s="29" t="n">
        <x:f>'Pricing'!$E$10</x:f>
        <x:v>1</x:v>
      </x:c>
      <x:c r="L2" s="30" t="n">
        <x:f>IF($Y2="No public API price","",$J2/'Pricing'!$M$2*$K2)</x:f>
        <x:v>10.339215</x:v>
      </x:c>
      <x:c r="M2" s="28" t="n">
        <x:v>599051</x:v>
      </x:c>
      <x:c r="N2" s="29" t="n">
        <x:f>'Pricing'!$F$10</x:f>
        <x:v>12.5</x:v>
      </x:c>
      <x:c r="O2" s="30" t="n">
        <x:f>IF($Y2="No public API price","",$M2/'Pricing'!$M$2*$N2)</x:f>
        <x:v>7.4881375</x:v>
      </x:c>
      <x:c r="P2" s="28" t="n">
        <x:v>275672</x:v>
      </x:c>
      <x:c r="Q2" s="29" t="n">
        <x:f>'Pricing'!$G$10</x:f>
        <x:v>20</x:v>
      </x:c>
      <x:c r="R2" s="30" t="n">
        <x:f>IF($Y2="No public API price","",$P2/'Pricing'!$M$2*$Q2)</x:f>
        <x:v>5.513439999999999</x:v>
      </x:c>
      <x:c r="S2" s="28" t="n">
        <x:v>172367</x:v>
      </x:c>
      <x:c r="T2" s="29" t="n">
        <x:f>'Pricing'!$H$10</x:f>
        <x:v>50</x:v>
      </x:c>
      <x:c r="U2" s="30" t="n">
        <x:f>IF($Y2="No public API price","",$S2/'Pricing'!$M$2*$T2)</x:f>
        <x:v>8.61835</x:v>
      </x:c>
      <x:c r="V2" s="28" t="n">
        <x:v>0</x:v>
      </x:c>
      <x:c r="W2" s="28" t="n">
        <x:v>11476597</x:v>
      </x:c>
      <x:c r="X2" s="30" t="n">
        <x:f>IF($Y2="No public API price","",SUM($I2,$L2,$O2,$R2,$U2))</x:f>
        <x:v>32.86206249999999</x:v>
      </x:c>
      <x:c r="Y2" s="26" t="str">
        <x:f>'Pricing'!$C$10</x:f>
        <x:v>Published</x:v>
      </x:c>
    </x:row>
    <x:row r="3" ht="20" customHeight="1">
      <x:c r="A3" s="25" t="str">
        <x:v>2026-06-17</x:v>
      </x:c>
      <x:c r="B3" s="26" t="str">
        <x:v>June</x:v>
      </x:c>
      <x:c r="C3" s="27" t="n">
        <x:v>2026</x:v>
      </x:c>
      <x:c r="D3" s="26" t="str">
        <x:v>Anthropic</x:v>
      </x:c>
      <x:c r="E3" s="26" t="str">
        <x:v>claude-opus-4-8</x:v>
      </x:c>
      <x:c r="F3" s="28" t="n">
        <x:v>191952</x:v>
      </x:c>
      <x:c r="G3" s="28" t="n">
        <x:v>23458</x:v>
      </x:c>
      <x:c r="H3" s="29" t="n">
        <x:f>'Pricing'!$D$12</x:f>
        <x:v>5</x:v>
      </x:c>
      <x:c r="I3" s="30" t="n">
        <x:f>IF($Y3="No public API price","",$G3/'Pricing'!$M$2*$H3)</x:f>
        <x:v>0.11729</x:v>
      </x:c>
      <x:c r="J3" s="28" t="n">
        <x:v>139511</x:v>
      </x:c>
      <x:c r="K3" s="29" t="n">
        <x:f>'Pricing'!$E$12</x:f>
        <x:v>0.5</x:v>
      </x:c>
      <x:c r="L3" s="30" t="n">
        <x:f>IF($Y3="No public API price","",$J3/'Pricing'!$M$2*$K3)</x:f>
        <x:v>0.0697555</x:v>
      </x:c>
      <x:c r="M3" s="28" t="n">
        <x:v>0</x:v>
      </x:c>
      <x:c r="N3" s="29" t="n">
        <x:f>'Pricing'!$F$12</x:f>
        <x:v>6.25</x:v>
      </x:c>
      <x:c r="O3" s="30" t="n">
        <x:f>IF($Y3="No public API price","",$M3/'Pricing'!$M$2*$N3)</x:f>
        <x:v>0</x:v>
      </x:c>
      <x:c r="P3" s="28" t="n">
        <x:v>28983</x:v>
      </x:c>
      <x:c r="Q3" s="29" t="n">
        <x:f>'Pricing'!$G$12</x:f>
        <x:v>10</x:v>
      </x:c>
      <x:c r="R3" s="30" t="n">
        <x:f>IF($Y3="No public API price","",$P3/'Pricing'!$M$2*$Q3)</x:f>
        <x:v>0.28983</x:v>
      </x:c>
      <x:c r="S3" s="28" t="n">
        <x:v>5158</x:v>
      </x:c>
      <x:c r="T3" s="29" t="n">
        <x:f>'Pricing'!$H$12</x:f>
        <x:v>25</x:v>
      </x:c>
      <x:c r="U3" s="30" t="n">
        <x:f>IF($Y3="No public API price","",$S3/'Pricing'!$M$2*$T3)</x:f>
        <x:v>0.12895</x:v>
      </x:c>
      <x:c r="V3" s="28" t="n">
        <x:v>0</x:v>
      </x:c>
      <x:c r="W3" s="28" t="n">
        <x:v>197110</x:v>
      </x:c>
      <x:c r="X3" s="30" t="n">
        <x:f>IF($Y3="No public API price","",SUM($I3,$L3,$O3,$R3,$U3))</x:f>
        <x:v>0.6058255</x:v>
      </x:c>
      <x:c r="Y3" s="26" t="str">
        <x:f>'Pricing'!$C$12</x:f>
        <x:v>Published</x:v>
      </x:c>
    </x:row>
    <x:row r="4" ht="20" customHeight="1">
      <x:c r="A4" s="25" t="str">
        <x:v>2026-06-18</x:v>
      </x:c>
      <x:c r="B4" s="26" t="str">
        <x:v>June</x:v>
      </x:c>
      <x:c r="C4" s="27" t="n">
        <x:v>2026</x:v>
      </x:c>
      <x:c r="D4" s="26" t="str">
        <x:v>Anthropic</x:v>
      </x:c>
      <x:c r="E4" s="26" t="str">
        <x:v>claude-opus-4-8</x:v>
      </x:c>
      <x:c r="F4" s="28" t="n">
        <x:v>214859</x:v>
      </x:c>
      <x:c r="G4" s="28" t="n">
        <x:v>32976</x:v>
      </x:c>
      <x:c r="H4" s="29" t="n">
        <x:f>'Pricing'!$D$12</x:f>
        <x:v>5</x:v>
      </x:c>
      <x:c r="I4" s="30" t="n">
        <x:f>IF($Y4="No public API price","",$G4/'Pricing'!$M$2*$H4)</x:f>
        <x:v>0.16488</x:v>
      </x:c>
      <x:c r="J4" s="28" t="n">
        <x:v>118172</x:v>
      </x:c>
      <x:c r="K4" s="29" t="n">
        <x:f>'Pricing'!$E$12</x:f>
        <x:v>0.5</x:v>
      </x:c>
      <x:c r="L4" s="30" t="n">
        <x:f>IF($Y4="No public API price","",$J4/'Pricing'!$M$2*$K4)</x:f>
        <x:v>0.059086</x:v>
      </x:c>
      <x:c r="M4" s="28" t="n">
        <x:v>0</x:v>
      </x:c>
      <x:c r="N4" s="29" t="n">
        <x:f>'Pricing'!$F$12</x:f>
        <x:v>6.25</x:v>
      </x:c>
      <x:c r="O4" s="30" t="n">
        <x:f>IF($Y4="No public API price","",$M4/'Pricing'!$M$2*$N4)</x:f>
        <x:v>0</x:v>
      </x:c>
      <x:c r="P4" s="28" t="n">
        <x:v>63711</x:v>
      </x:c>
      <x:c r="Q4" s="29" t="n">
        <x:f>'Pricing'!$G$12</x:f>
        <x:v>10</x:v>
      </x:c>
      <x:c r="R4" s="30" t="n">
        <x:f>IF($Y4="No public API price","",$P4/'Pricing'!$M$2*$Q4)</x:f>
        <x:v>0.6371100000000001</x:v>
      </x:c>
      <x:c r="S4" s="28" t="n">
        <x:v>8369</x:v>
      </x:c>
      <x:c r="T4" s="29" t="n">
        <x:f>'Pricing'!$H$12</x:f>
        <x:v>25</x:v>
      </x:c>
      <x:c r="U4" s="30" t="n">
        <x:f>IF($Y4="No public API price","",$S4/'Pricing'!$M$2*$T4)</x:f>
        <x:v>0.209225</x:v>
      </x:c>
      <x:c r="V4" s="28" t="n">
        <x:v>0</x:v>
      </x:c>
      <x:c r="W4" s="28" t="n">
        <x:v>223228</x:v>
      </x:c>
      <x:c r="X4" s="30" t="n">
        <x:f>IF($Y4="No public API price","",SUM($I4,$L4,$O4,$R4,$U4))</x:f>
        <x:v>1.0703010000000002</x:v>
      </x:c>
      <x:c r="Y4" s="26" t="str">
        <x:f>'Pricing'!$C$12</x:f>
        <x:v>Published</x:v>
      </x:c>
    </x:row>
    <x:row r="5" ht="20" customHeight="1">
      <x:c r="A5" s="25" t="str">
        <x:v>2026-06-19</x:v>
      </x:c>
      <x:c r="B5" s="26" t="str">
        <x:v>June</x:v>
      </x:c>
      <x:c r="C5" s="27" t="n">
        <x:v>2026</x:v>
      </x:c>
      <x:c r="D5" s="26" t="str">
        <x:v>Anthropic</x:v>
      </x:c>
      <x:c r="E5" s="26" t="str">
        <x:v>claude-opus-4-8</x:v>
      </x:c>
      <x:c r="F5" s="28" t="n">
        <x:v>13144499</x:v>
      </x:c>
      <x:c r="G5" s="28" t="n">
        <x:v>19109</x:v>
      </x:c>
      <x:c r="H5" s="29" t="n">
        <x:f>'Pricing'!$D$12</x:f>
        <x:v>5</x:v>
      </x:c>
      <x:c r="I5" s="30" t="n">
        <x:f>IF($Y5="No public API price","",$G5/'Pricing'!$M$2*$H5)</x:f>
        <x:v>0.095545</x:v>
      </x:c>
      <x:c r="J5" s="28" t="n">
        <x:v>12709792</x:v>
      </x:c>
      <x:c r="K5" s="29" t="n">
        <x:f>'Pricing'!$E$12</x:f>
        <x:v>0.5</x:v>
      </x:c>
      <x:c r="L5" s="30" t="n">
        <x:f>IF($Y5="No public API price","",$J5/'Pricing'!$M$2*$K5)</x:f>
        <x:v>6.354896</x:v>
      </x:c>
      <x:c r="M5" s="28" t="n">
        <x:v>0</x:v>
      </x:c>
      <x:c r="N5" s="29" t="n">
        <x:f>'Pricing'!$F$12</x:f>
        <x:v>6.25</x:v>
      </x:c>
      <x:c r="O5" s="30" t="n">
        <x:f>IF($Y5="No public API price","",$M5/'Pricing'!$M$2*$N5)</x:f>
        <x:v>0</x:v>
      </x:c>
      <x:c r="P5" s="28" t="n">
        <x:v>415598</x:v>
      </x:c>
      <x:c r="Q5" s="29" t="n">
        <x:f>'Pricing'!$G$12</x:f>
        <x:v>10</x:v>
      </x:c>
      <x:c r="R5" s="30" t="n">
        <x:f>IF($Y5="No public API price","",$P5/'Pricing'!$M$2*$Q5)</x:f>
        <x:v>4.1559800000000005</x:v>
      </x:c>
      <x:c r="S5" s="28" t="n">
        <x:v>107701</x:v>
      </x:c>
      <x:c r="T5" s="29" t="n">
        <x:f>'Pricing'!$H$12</x:f>
        <x:v>25</x:v>
      </x:c>
      <x:c r="U5" s="30" t="n">
        <x:f>IF($Y5="No public API price","",$S5/'Pricing'!$M$2*$T5)</x:f>
        <x:v>2.6925250000000003</x:v>
      </x:c>
      <x:c r="V5" s="28" t="n">
        <x:v>0</x:v>
      </x:c>
      <x:c r="W5" s="28" t="n">
        <x:v>13252200</x:v>
      </x:c>
      <x:c r="X5" s="30" t="n">
        <x:f>IF($Y5="No public API price","",SUM($I5,$L5,$O5,$R5,$U5))</x:f>
        <x:v>13.298946</x:v>
      </x:c>
      <x:c r="Y5" s="26" t="str">
        <x:f>'Pricing'!$C$12</x:f>
        <x:v>Published</x:v>
      </x:c>
    </x:row>
    <x:row r="6" ht="20" customHeight="1">
      <x:c r="A6" s="25" t="str">
        <x:v>2026-06-20</x:v>
      </x:c>
      <x:c r="B6" s="26" t="str">
        <x:v>June</x:v>
      </x:c>
      <x:c r="C6" s="27" t="n">
        <x:v>2026</x:v>
      </x:c>
      <x:c r="D6" s="26" t="str">
        <x:v>Anthropic</x:v>
      </x:c>
      <x:c r="E6" s="26" t="str">
        <x:v>claude-opus-4-8</x:v>
      </x:c>
      <x:c r="F6" s="28" t="n">
        <x:v>11951377</x:v>
      </x:c>
      <x:c r="G6" s="28" t="n">
        <x:v>18415</x:v>
      </x:c>
      <x:c r="H6" s="29" t="n">
        <x:f>'Pricing'!$D$12</x:f>
        <x:v>5</x:v>
      </x:c>
      <x:c r="I6" s="30" t="n">
        <x:f>IF($Y6="No public API price","",$G6/'Pricing'!$M$2*$H6)</x:f>
        <x:v>0.092075</x:v>
      </x:c>
      <x:c r="J6" s="28" t="n">
        <x:v>11706722</x:v>
      </x:c>
      <x:c r="K6" s="29" t="n">
        <x:f>'Pricing'!$E$12</x:f>
        <x:v>0.5</x:v>
      </x:c>
      <x:c r="L6" s="30" t="n">
        <x:f>IF($Y6="No public API price","",$J6/'Pricing'!$M$2*$K6)</x:f>
        <x:v>5.853361</x:v>
      </x:c>
      <x:c r="M6" s="28" t="n">
        <x:v>0</x:v>
      </x:c>
      <x:c r="N6" s="29" t="n">
        <x:f>'Pricing'!$F$12</x:f>
        <x:v>6.25</x:v>
      </x:c>
      <x:c r="O6" s="30" t="n">
        <x:f>IF($Y6="No public API price","",$M6/'Pricing'!$M$2*$N6)</x:f>
        <x:v>0</x:v>
      </x:c>
      <x:c r="P6" s="28" t="n">
        <x:v>226240</x:v>
      </x:c>
      <x:c r="Q6" s="29" t="n">
        <x:f>'Pricing'!$G$12</x:f>
        <x:v>10</x:v>
      </x:c>
      <x:c r="R6" s="30" t="n">
        <x:f>IF($Y6="No public API price","",$P6/'Pricing'!$M$2*$Q6)</x:f>
        <x:v>2.2624</x:v>
      </x:c>
      <x:c r="S6" s="28" t="n">
        <x:v>47545</x:v>
      </x:c>
      <x:c r="T6" s="29" t="n">
        <x:f>'Pricing'!$H$12</x:f>
        <x:v>25</x:v>
      </x:c>
      <x:c r="U6" s="30" t="n">
        <x:f>IF($Y6="No public API price","",$S6/'Pricing'!$M$2*$T6)</x:f>
        <x:v>1.1886249999999998</x:v>
      </x:c>
      <x:c r="V6" s="28" t="n">
        <x:v>0</x:v>
      </x:c>
      <x:c r="W6" s="28" t="n">
        <x:v>11998922</x:v>
      </x:c>
      <x:c r="X6" s="30" t="n">
        <x:f>IF($Y6="No public API price","",SUM($I6,$L6,$O6,$R6,$U6))</x:f>
        <x:v>9.396461</x:v>
      </x:c>
      <x:c r="Y6" s="26" t="str">
        <x:f>'Pricing'!$C$12</x:f>
        <x:v>Published</x:v>
      </x:c>
    </x:row>
    <x:row r="7" ht="20" customHeight="1">
      <x:c r="A7" s="25" t="str">
        <x:v>2026-06-21</x:v>
      </x:c>
      <x:c r="B7" s="26" t="str">
        <x:v>June</x:v>
      </x:c>
      <x:c r="C7" s="27" t="n">
        <x:v>2026</x:v>
      </x:c>
      <x:c r="D7" s="26" t="str">
        <x:v>Anthropic</x:v>
      </x:c>
      <x:c r="E7" s="26" t="str">
        <x:v>claude-opus-4-8</x:v>
      </x:c>
      <x:c r="F7" s="28" t="n">
        <x:v>1168225</x:v>
      </x:c>
      <x:c r="G7" s="28" t="n">
        <x:v>30191</x:v>
      </x:c>
      <x:c r="H7" s="29" t="n">
        <x:f>'Pricing'!$D$12</x:f>
        <x:v>5</x:v>
      </x:c>
      <x:c r="I7" s="30" t="n">
        <x:f>IF($Y7="No public API price","",$G7/'Pricing'!$M$2*$H7)</x:f>
        <x:v>0.150955</x:v>
      </x:c>
      <x:c r="J7" s="28" t="n">
        <x:v>957834</x:v>
      </x:c>
      <x:c r="K7" s="29" t="n">
        <x:f>'Pricing'!$E$12</x:f>
        <x:v>0.5</x:v>
      </x:c>
      <x:c r="L7" s="30" t="n">
        <x:f>IF($Y7="No public API price","",$J7/'Pricing'!$M$2*$K7)</x:f>
        <x:v>0.478917</x:v>
      </x:c>
      <x:c r="M7" s="28" t="n">
        <x:v>71805</x:v>
      </x:c>
      <x:c r="N7" s="29" t="n">
        <x:f>'Pricing'!$F$12</x:f>
        <x:v>6.25</x:v>
      </x:c>
      <x:c r="O7" s="30" t="n">
        <x:f>IF($Y7="No public API price","",$M7/'Pricing'!$M$2*$N7)</x:f>
        <x:v>0.44878124999999996</x:v>
      </x:c>
      <x:c r="P7" s="28" t="n">
        <x:v>108395</x:v>
      </x:c>
      <x:c r="Q7" s="29" t="n">
        <x:f>'Pricing'!$G$12</x:f>
        <x:v>10</x:v>
      </x:c>
      <x:c r="R7" s="30" t="n">
        <x:f>IF($Y7="No public API price","",$P7/'Pricing'!$M$2*$Q7)</x:f>
        <x:v>1.08395</x:v>
      </x:c>
      <x:c r="S7" s="28" t="n">
        <x:v>28594</x:v>
      </x:c>
      <x:c r="T7" s="29" t="n">
        <x:f>'Pricing'!$H$12</x:f>
        <x:v>25</x:v>
      </x:c>
      <x:c r="U7" s="30" t="n">
        <x:f>IF($Y7="No public API price","",$S7/'Pricing'!$M$2*$T7)</x:f>
        <x:v>0.71485</x:v>
      </x:c>
      <x:c r="V7" s="28" t="n">
        <x:v>0</x:v>
      </x:c>
      <x:c r="W7" s="28" t="n">
        <x:v>1196819</x:v>
      </x:c>
      <x:c r="X7" s="30" t="n">
        <x:f>IF($Y7="No public API price","",SUM($I7,$L7,$O7,$R7,$U7))</x:f>
        <x:v>2.8774532500000003</x:v>
      </x:c>
      <x:c r="Y7" s="26" t="str">
        <x:f>'Pricing'!$C$12</x:f>
        <x:v>Published</x:v>
      </x:c>
    </x:row>
    <x:row r="8" ht="20" customHeight="1">
      <x:c r="A8" s="25" t="str">
        <x:v>2026-06-22</x:v>
      </x:c>
      <x:c r="B8" s="26" t="str">
        <x:v>June</x:v>
      </x:c>
      <x:c r="C8" s="27" t="n">
        <x:v>2026</x:v>
      </x:c>
      <x:c r="D8" s="26" t="str">
        <x:v>Anthropic</x:v>
      </x:c>
      <x:c r="E8" s="26" t="str">
        <x:v>claude-opus-4-8</x:v>
      </x:c>
      <x:c r="F8" s="28" t="n">
        <x:v>198035710</x:v>
      </x:c>
      <x:c r="G8" s="28" t="n">
        <x:v>1375615</x:v>
      </x:c>
      <x:c r="H8" s="29" t="n">
        <x:f>'Pricing'!$D$12</x:f>
        <x:v>5</x:v>
      </x:c>
      <x:c r="I8" s="30" t="n">
        <x:f>IF($Y8="No public API price","",$G8/'Pricing'!$M$2*$H8)</x:f>
        <x:v>6.878075</x:v>
      </x:c>
      <x:c r="J8" s="28" t="n">
        <x:v>189339585</x:v>
      </x:c>
      <x:c r="K8" s="29" t="n">
        <x:f>'Pricing'!$E$12</x:f>
        <x:v>0.5</x:v>
      </x:c>
      <x:c r="L8" s="30" t="n">
        <x:f>IF($Y8="No public API price","",$J8/'Pricing'!$M$2*$K8)</x:f>
        <x:v>94.6697925</x:v>
      </x:c>
      <x:c r="M8" s="28" t="n">
        <x:v>4825308</x:v>
      </x:c>
      <x:c r="N8" s="29" t="n">
        <x:f>'Pricing'!$F$12</x:f>
        <x:v>6.25</x:v>
      </x:c>
      <x:c r="O8" s="30" t="n">
        <x:f>IF($Y8="No public API price","",$M8/'Pricing'!$M$2*$N8)</x:f>
        <x:v>30.158175</x:v>
      </x:c>
      <x:c r="P8" s="28" t="n">
        <x:v>2495202</x:v>
      </x:c>
      <x:c r="Q8" s="29" t="n">
        <x:f>'Pricing'!$G$12</x:f>
        <x:v>10</x:v>
      </x:c>
      <x:c r="R8" s="30" t="n">
        <x:f>IF($Y8="No public API price","",$P8/'Pricing'!$M$2*$Q8)</x:f>
        <x:v>24.952019999999997</x:v>
      </x:c>
      <x:c r="S8" s="28" t="n">
        <x:v>970083</x:v>
      </x:c>
      <x:c r="T8" s="29" t="n">
        <x:f>'Pricing'!$H$12</x:f>
        <x:v>25</x:v>
      </x:c>
      <x:c r="U8" s="30" t="n">
        <x:f>IF($Y8="No public API price","",$S8/'Pricing'!$M$2*$T8)</x:f>
        <x:v>24.252075</x:v>
      </x:c>
      <x:c r="V8" s="28" t="n">
        <x:v>0</x:v>
      </x:c>
      <x:c r="W8" s="28" t="n">
        <x:v>199005793</x:v>
      </x:c>
      <x:c r="X8" s="30" t="n">
        <x:f>IF($Y8="No public API price","",SUM($I8,$L8,$O8,$R8,$U8))</x:f>
        <x:v>180.9101375</x:v>
      </x:c>
      <x:c r="Y8" s="26" t="str">
        <x:f>'Pricing'!$C$12</x:f>
        <x:v>Published</x:v>
      </x:c>
    </x:row>
    <x:row r="9" ht="20" customHeight="1">
      <x:c r="A9" s="25" t="str">
        <x:v>2026-06-23</x:v>
      </x:c>
      <x:c r="B9" s="26" t="str">
        <x:v>June</x:v>
      </x:c>
      <x:c r="C9" s="27" t="n">
        <x:v>2026</x:v>
      </x:c>
      <x:c r="D9" s="26" t="str">
        <x:v>Anthropic</x:v>
      </x:c>
      <x:c r="E9" s="26" t="str">
        <x:v>claude-opus-4-8</x:v>
      </x:c>
      <x:c r="F9" s="28" t="n">
        <x:v>5957417</x:v>
      </x:c>
      <x:c r="G9" s="28" t="n">
        <x:v>77025</x:v>
      </x:c>
      <x:c r="H9" s="29" t="n">
        <x:f>'Pricing'!$D$12</x:f>
        <x:v>5</x:v>
      </x:c>
      <x:c r="I9" s="30" t="n">
        <x:f>IF($Y9="No public API price","",$G9/'Pricing'!$M$2*$H9)</x:f>
        <x:v>0.385125</x:v>
      </x:c>
      <x:c r="J9" s="28" t="n">
        <x:v>5193423</x:v>
      </x:c>
      <x:c r="K9" s="29" t="n">
        <x:f>'Pricing'!$E$12</x:f>
        <x:v>0.5</x:v>
      </x:c>
      <x:c r="L9" s="30" t="n">
        <x:f>IF($Y9="No public API price","",$J9/'Pricing'!$M$2*$K9)</x:f>
        <x:v>2.5967115</x:v>
      </x:c>
      <x:c r="M9" s="28" t="n">
        <x:v>172886</x:v>
      </x:c>
      <x:c r="N9" s="29" t="n">
        <x:f>'Pricing'!$F$12</x:f>
        <x:v>6.25</x:v>
      </x:c>
      <x:c r="O9" s="30" t="n">
        <x:f>IF($Y9="No public API price","",$M9/'Pricing'!$M$2*$N9)</x:f>
        <x:v>1.0805375000000002</x:v>
      </x:c>
      <x:c r="P9" s="28" t="n">
        <x:v>514083</x:v>
      </x:c>
      <x:c r="Q9" s="29" t="n">
        <x:f>'Pricing'!$G$12</x:f>
        <x:v>10</x:v>
      </x:c>
      <x:c r="R9" s="30" t="n">
        <x:f>IF($Y9="No public API price","",$P9/'Pricing'!$M$2*$Q9)</x:f>
        <x:v>5.140829999999999</x:v>
      </x:c>
      <x:c r="S9" s="28" t="n">
        <x:v>168720</x:v>
      </x:c>
      <x:c r="T9" s="29" t="n">
        <x:f>'Pricing'!$H$12</x:f>
        <x:v>25</x:v>
      </x:c>
      <x:c r="U9" s="30" t="n">
        <x:f>IF($Y9="No public API price","",$S9/'Pricing'!$M$2*$T9)</x:f>
        <x:v>4.218</x:v>
      </x:c>
      <x:c r="V9" s="28" t="n">
        <x:v>0</x:v>
      </x:c>
      <x:c r="W9" s="28" t="n">
        <x:v>6126137</x:v>
      </x:c>
      <x:c r="X9" s="30" t="n">
        <x:f>IF($Y9="No public API price","",SUM($I9,$L9,$O9,$R9,$U9))</x:f>
        <x:v>13.421204</x:v>
      </x:c>
      <x:c r="Y9" s="26" t="str">
        <x:f>'Pricing'!$C$12</x:f>
        <x:v>Published</x:v>
      </x:c>
    </x:row>
    <x:row r="10" ht="20" customHeight="1">
      <x:c r="A10" s="25" t="str">
        <x:v>2026-06-24</x:v>
      </x:c>
      <x:c r="B10" s="26" t="str">
        <x:v>June</x:v>
      </x:c>
      <x:c r="C10" s="27" t="n">
        <x:v>2026</x:v>
      </x:c>
      <x:c r="D10" s="26" t="str">
        <x:v>Anthropic</x:v>
      </x:c>
      <x:c r="E10" s="26" t="str">
        <x:v>claude-haiku-4-5-20251001</x:v>
      </x:c>
      <x:c r="F10" s="28" t="n">
        <x:v>1204411</x:v>
      </x:c>
      <x:c r="G10" s="28" t="n">
        <x:v>91</x:v>
      </x:c>
      <x:c r="H10" s="29" t="n">
        <x:f>'Pricing'!$D$11</x:f>
        <x:v>1</x:v>
      </x:c>
      <x:c r="I10" s="30" t="n">
        <x:f>IF($Y10="No public API price","",$G10/'Pricing'!$M$2*$H10)</x:f>
        <x:v>0.000091</x:v>
      </x:c>
      <x:c r="J10" s="28" t="n">
        <x:v>1096775</x:v>
      </x:c>
      <x:c r="K10" s="29" t="n">
        <x:f>'Pricing'!$E$11</x:f>
        <x:v>0.1</x:v>
      </x:c>
      <x:c r="L10" s="30" t="n">
        <x:f>IF($Y10="No public API price","",$J10/'Pricing'!$M$2*$K10)</x:f>
        <x:v>0.10967750000000001</x:v>
      </x:c>
      <x:c r="M10" s="28" t="n">
        <x:v>107545</x:v>
      </x:c>
      <x:c r="N10" s="29" t="n">
        <x:f>'Pricing'!$F$11</x:f>
        <x:v>1.25</x:v>
      </x:c>
      <x:c r="O10" s="30" t="n">
        <x:f>IF($Y10="No public API price","",$M10/'Pricing'!$M$2*$N10)</x:f>
        <x:v>0.13443125</x:v>
      </x:c>
      <x:c r="P10" s="28" t="n">
        <x:v>0</x:v>
      </x:c>
      <x:c r="Q10" s="29" t="n">
        <x:f>'Pricing'!$G$11</x:f>
        <x:v>2</x:v>
      </x:c>
      <x:c r="R10" s="30" t="n">
        <x:f>IF($Y10="No public API price","",$P10/'Pricing'!$M$2*$Q10)</x:f>
        <x:v>0</x:v>
      </x:c>
      <x:c r="S10" s="28" t="n">
        <x:v>9590</x:v>
      </x:c>
      <x:c r="T10" s="29" t="n">
        <x:f>'Pricing'!$H$11</x:f>
        <x:v>5</x:v>
      </x:c>
      <x:c r="U10" s="30" t="n">
        <x:f>IF($Y10="No public API price","",$S10/'Pricing'!$M$2*$T10)</x:f>
        <x:v>0.04795</x:v>
      </x:c>
      <x:c r="V10" s="28" t="n">
        <x:v>0</x:v>
      </x:c>
      <x:c r="W10" s="28" t="n">
        <x:v>1214001</x:v>
      </x:c>
      <x:c r="X10" s="30" t="n">
        <x:f>IF($Y10="No public API price","",SUM($I10,$L10,$O10,$R10,$U10))</x:f>
        <x:v>0.29214975</x:v>
      </x:c>
      <x:c r="Y10" s="26" t="str">
        <x:f>'Pricing'!$C$11</x:f>
        <x:v>Published</x:v>
      </x:c>
    </x:row>
    <x:row r="11" ht="20" customHeight="1">
      <x:c r="A11" s="25" t="str">
        <x:v>2026-06-24</x:v>
      </x:c>
      <x:c r="B11" s="26" t="str">
        <x:v>June</x:v>
      </x:c>
      <x:c r="C11" s="27" t="n">
        <x:v>2026</x:v>
      </x:c>
      <x:c r="D11" s="26" t="str">
        <x:v>Anthropic</x:v>
      </x:c>
      <x:c r="E11" s="26" t="str">
        <x:v>claude-opus-4-8</x:v>
      </x:c>
      <x:c r="F11" s="28" t="n">
        <x:v>1759933</x:v>
      </x:c>
      <x:c r="G11" s="28" t="n">
        <x:v>32265</x:v>
      </x:c>
      <x:c r="H11" s="29" t="n">
        <x:f>'Pricing'!$D$12</x:f>
        <x:v>5</x:v>
      </x:c>
      <x:c r="I11" s="30" t="n">
        <x:f>IF($Y11="No public API price","",$G11/'Pricing'!$M$2*$H11)</x:f>
        <x:v>0.161325</x:v>
      </x:c>
      <x:c r="J11" s="28" t="n">
        <x:v>1591179</x:v>
      </x:c>
      <x:c r="K11" s="29" t="n">
        <x:f>'Pricing'!$E$12</x:f>
        <x:v>0.5</x:v>
      </x:c>
      <x:c r="L11" s="30" t="n">
        <x:f>IF($Y11="No public API price","",$J11/'Pricing'!$M$2*$K11)</x:f>
        <x:v>0.7955895</x:v>
      </x:c>
      <x:c r="M11" s="28" t="n">
        <x:v>0</x:v>
      </x:c>
      <x:c r="N11" s="29" t="n">
        <x:f>'Pricing'!$F$12</x:f>
        <x:v>6.25</x:v>
      </x:c>
      <x:c r="O11" s="30" t="n">
        <x:f>IF($Y11="No public API price","",$M11/'Pricing'!$M$2*$N11)</x:f>
        <x:v>0</x:v>
      </x:c>
      <x:c r="P11" s="28" t="n">
        <x:v>136489</x:v>
      </x:c>
      <x:c r="Q11" s="29" t="n">
        <x:f>'Pricing'!$G$12</x:f>
        <x:v>10</x:v>
      </x:c>
      <x:c r="R11" s="30" t="n">
        <x:f>IF($Y11="No public API price","",$P11/'Pricing'!$M$2*$Q11)</x:f>
        <x:v>1.36489</x:v>
      </x:c>
      <x:c r="S11" s="28" t="n">
        <x:v>21650</x:v>
      </x:c>
      <x:c r="T11" s="29" t="n">
        <x:f>'Pricing'!$H$12</x:f>
        <x:v>25</x:v>
      </x:c>
      <x:c r="U11" s="30" t="n">
        <x:f>IF($Y11="No public API price","",$S11/'Pricing'!$M$2*$T11)</x:f>
        <x:v>0.54125</x:v>
      </x:c>
      <x:c r="V11" s="28" t="n">
        <x:v>0</x:v>
      </x:c>
      <x:c r="W11" s="28" t="n">
        <x:v>1781583</x:v>
      </x:c>
      <x:c r="X11" s="30" t="n">
        <x:f>IF($Y11="No public API price","",SUM($I11,$L11,$O11,$R11,$U11))</x:f>
        <x:v>2.8630544999999996</x:v>
      </x:c>
      <x:c r="Y11" s="26" t="str">
        <x:f>'Pricing'!$C$12</x:f>
        <x:v>Published</x:v>
      </x:c>
    </x:row>
    <x:row r="12" ht="20" customHeight="1">
      <x:c r="A12" s="25" t="str">
        <x:v>2026-06-25</x:v>
      </x:c>
      <x:c r="B12" s="26" t="str">
        <x:v>June</x:v>
      </x:c>
      <x:c r="C12" s="27" t="n">
        <x:v>2026</x:v>
      </x:c>
      <x:c r="D12" s="26" t="str">
        <x:v>Anthropic</x:v>
      </x:c>
      <x:c r="E12" s="26" t="str">
        <x:v>claude-opus-4-8</x:v>
      </x:c>
      <x:c r="F12" s="28" t="n">
        <x:v>22273349</x:v>
      </x:c>
      <x:c r="G12" s="28" t="n">
        <x:v>319309</x:v>
      </x:c>
      <x:c r="H12" s="29" t="n">
        <x:f>'Pricing'!$D$12</x:f>
        <x:v>5</x:v>
      </x:c>
      <x:c r="I12" s="30" t="n">
        <x:f>IF($Y12="No public API price","",$G12/'Pricing'!$M$2*$H12)</x:f>
        <x:v>1.596545</x:v>
      </x:c>
      <x:c r="J12" s="28" t="n">
        <x:v>19788365</x:v>
      </x:c>
      <x:c r="K12" s="29" t="n">
        <x:f>'Pricing'!$E$12</x:f>
        <x:v>0.5</x:v>
      </x:c>
      <x:c r="L12" s="30" t="n">
        <x:f>IF($Y12="No public API price","",$J12/'Pricing'!$M$2*$K12)</x:f>
        <x:v>9.8941825</x:v>
      </x:c>
      <x:c r="M12" s="28" t="n">
        <x:v>1767839</x:v>
      </x:c>
      <x:c r="N12" s="29" t="n">
        <x:f>'Pricing'!$F$12</x:f>
        <x:v>6.25</x:v>
      </x:c>
      <x:c r="O12" s="30" t="n">
        <x:f>IF($Y12="No public API price","",$M12/'Pricing'!$M$2*$N12)</x:f>
        <x:v>11.04899375</x:v>
      </x:c>
      <x:c r="P12" s="28" t="n">
        <x:v>397836</x:v>
      </x:c>
      <x:c r="Q12" s="29" t="n">
        <x:f>'Pricing'!$G$12</x:f>
        <x:v>10</x:v>
      </x:c>
      <x:c r="R12" s="30" t="n">
        <x:f>IF($Y12="No public API price","",$P12/'Pricing'!$M$2*$Q12)</x:f>
        <x:v>3.9783600000000003</x:v>
      </x:c>
      <x:c r="S12" s="28" t="n">
        <x:v>280673</x:v>
      </x:c>
      <x:c r="T12" s="29" t="n">
        <x:f>'Pricing'!$H$12</x:f>
        <x:v>25</x:v>
      </x:c>
      <x:c r="U12" s="30" t="n">
        <x:f>IF($Y12="No public API price","",$S12/'Pricing'!$M$2*$T12)</x:f>
        <x:v>7.016825</x:v>
      </x:c>
      <x:c r="V12" s="28" t="n">
        <x:v>0</x:v>
      </x:c>
      <x:c r="W12" s="28" t="n">
        <x:v>22554022</x:v>
      </x:c>
      <x:c r="X12" s="30" t="n">
        <x:f>IF($Y12="No public API price","",SUM($I12,$L12,$O12,$R12,$U12))</x:f>
        <x:v>33.53490625</x:v>
      </x:c>
      <x:c r="Y12" s="26" t="str">
        <x:f>'Pricing'!$C$12</x:f>
        <x:v>Published</x:v>
      </x:c>
    </x:row>
    <x:row r="13" ht="20" customHeight="1">
      <x:c r="A13" s="25" t="str">
        <x:v>2026-06-26</x:v>
      </x:c>
      <x:c r="B13" s="26" t="str">
        <x:v>June</x:v>
      </x:c>
      <x:c r="C13" s="27" t="n">
        <x:v>2026</x:v>
      </x:c>
      <x:c r="D13" s="26" t="str">
        <x:v>Anthropic</x:v>
      </x:c>
      <x:c r="E13" s="26" t="str">
        <x:v>claude-opus-4-8</x:v>
      </x:c>
      <x:c r="F13" s="28" t="n">
        <x:v>252594880</x:v>
      </x:c>
      <x:c r="G13" s="28" t="n">
        <x:v>2677480</x:v>
      </x:c>
      <x:c r="H13" s="29" t="n">
        <x:f>'Pricing'!$D$12</x:f>
        <x:v>5</x:v>
      </x:c>
      <x:c r="I13" s="30" t="n">
        <x:f>IF($Y13="No public API price","",$G13/'Pricing'!$M$2*$H13)</x:f>
        <x:v>13.3874</x:v>
      </x:c>
      <x:c r="J13" s="28" t="n">
        <x:v>242888727</x:v>
      </x:c>
      <x:c r="K13" s="29" t="n">
        <x:f>'Pricing'!$E$12</x:f>
        <x:v>0.5</x:v>
      </x:c>
      <x:c r="L13" s="30" t="n">
        <x:f>IF($Y13="No public API price","",$J13/'Pricing'!$M$2*$K13)</x:f>
        <x:v>121.4443635</x:v>
      </x:c>
      <x:c r="M13" s="28" t="n">
        <x:v>5912045</x:v>
      </x:c>
      <x:c r="N13" s="29" t="n">
        <x:f>'Pricing'!$F$12</x:f>
        <x:v>6.25</x:v>
      </x:c>
      <x:c r="O13" s="30" t="n">
        <x:f>IF($Y13="No public API price","",$M13/'Pricing'!$M$2*$N13)</x:f>
        <x:v>36.95028125</x:v>
      </x:c>
      <x:c r="P13" s="28" t="n">
        <x:v>1116628</x:v>
      </x:c>
      <x:c r="Q13" s="29" t="n">
        <x:f>'Pricing'!$G$12</x:f>
        <x:v>10</x:v>
      </x:c>
      <x:c r="R13" s="30" t="n">
        <x:f>IF($Y13="No public API price","",$P13/'Pricing'!$M$2*$Q13)</x:f>
        <x:v>11.16628</x:v>
      </x:c>
      <x:c r="S13" s="28" t="n">
        <x:v>1427550</x:v>
      </x:c>
      <x:c r="T13" s="29" t="n">
        <x:f>'Pricing'!$H$12</x:f>
        <x:v>25</x:v>
      </x:c>
      <x:c r="U13" s="30" t="n">
        <x:f>IF($Y13="No public API price","",$S13/'Pricing'!$M$2*$T13)</x:f>
        <x:v>35.68875</x:v>
      </x:c>
      <x:c r="V13" s="28" t="n">
        <x:v>0</x:v>
      </x:c>
      <x:c r="W13" s="28" t="n">
        <x:v>254022430</x:v>
      </x:c>
      <x:c r="X13" s="30" t="n">
        <x:f>IF($Y13="No public API price","",SUM($I13,$L13,$O13,$R13,$U13))</x:f>
        <x:v>218.63707475</x:v>
      </x:c>
      <x:c r="Y13" s="26" t="str">
        <x:f>'Pricing'!$C$12</x:f>
        <x:v>Published</x:v>
      </x:c>
    </x:row>
    <x:row r="14" ht="20" customHeight="1">
      <x:c r="A14" s="25" t="str">
        <x:v>2026-06-27</x:v>
      </x:c>
      <x:c r="B14" s="26" t="str">
        <x:v>June</x:v>
      </x:c>
      <x:c r="C14" s="27" t="n">
        <x:v>2026</x:v>
      </x:c>
      <x:c r="D14" s="26" t="str">
        <x:v>Anthropic</x:v>
      </x:c>
      <x:c r="E14" s="26" t="str">
        <x:v>claude-opus-4-8</x:v>
      </x:c>
      <x:c r="F14" s="28" t="n">
        <x:v>446778121</x:v>
      </x:c>
      <x:c r="G14" s="28" t="n">
        <x:v>17911344</x:v>
      </x:c>
      <x:c r="H14" s="29" t="n">
        <x:f>'Pricing'!$D$12</x:f>
        <x:v>5</x:v>
      </x:c>
      <x:c r="I14" s="30" t="n">
        <x:f>IF($Y14="No public API price","",$G14/'Pricing'!$M$2*$H14)</x:f>
        <x:v>89.55672</x:v>
      </x:c>
      <x:c r="J14" s="28" t="n">
        <x:v>388349131</x:v>
      </x:c>
      <x:c r="K14" s="29" t="n">
        <x:f>'Pricing'!$E$12</x:f>
        <x:v>0.5</x:v>
      </x:c>
      <x:c r="L14" s="30" t="n">
        <x:f>IF($Y14="No public API price","",$J14/'Pricing'!$M$2*$K14)</x:f>
        <x:v>194.1745655</x:v>
      </x:c>
      <x:c r="M14" s="28" t="n">
        <x:v>39525426</x:v>
      </x:c>
      <x:c r="N14" s="29" t="n">
        <x:f>'Pricing'!$F$12</x:f>
        <x:v>6.25</x:v>
      </x:c>
      <x:c r="O14" s="30" t="n">
        <x:f>IF($Y14="No public API price","",$M14/'Pricing'!$M$2*$N14)</x:f>
        <x:v>247.0339125</x:v>
      </x:c>
      <x:c r="P14" s="28" t="n">
        <x:v>992220</x:v>
      </x:c>
      <x:c r="Q14" s="29" t="n">
        <x:f>'Pricing'!$G$12</x:f>
        <x:v>10</x:v>
      </x:c>
      <x:c r="R14" s="30" t="n">
        <x:f>IF($Y14="No public API price","",$P14/'Pricing'!$M$2*$Q14)</x:f>
        <x:v>9.9222</x:v>
      </x:c>
      <x:c r="S14" s="28" t="n">
        <x:v>7322260</x:v>
      </x:c>
      <x:c r="T14" s="29" t="n">
        <x:f>'Pricing'!$H$12</x:f>
        <x:v>25</x:v>
      </x:c>
      <x:c r="U14" s="30" t="n">
        <x:f>IF($Y14="No public API price","",$S14/'Pricing'!$M$2*$T14)</x:f>
        <x:v>183.0565</x:v>
      </x:c>
      <x:c r="V14" s="28" t="n">
        <x:v>0</x:v>
      </x:c>
      <x:c r="W14" s="28" t="n">
        <x:v>454100381</x:v>
      </x:c>
      <x:c r="X14" s="30" t="n">
        <x:f>IF($Y14="No public API price","",SUM($I14,$L14,$O14,$R14,$U14))</x:f>
        <x:v>723.7438980000001</x:v>
      </x:c>
      <x:c r="Y14" s="26" t="str">
        <x:f>'Pricing'!$C$12</x:f>
        <x:v>Published</x:v>
      </x:c>
    </x:row>
    <x:row r="15" ht="20" customHeight="1">
      <x:c r="A15" s="25" t="str">
        <x:v>2026-06-28</x:v>
      </x:c>
      <x:c r="B15" s="26" t="str">
        <x:v>June</x:v>
      </x:c>
      <x:c r="C15" s="27" t="n">
        <x:v>2026</x:v>
      </x:c>
      <x:c r="D15" s="26" t="str">
        <x:v>Anthropic</x:v>
      </x:c>
      <x:c r="E15" s="26" t="str">
        <x:v>claude-opus-4-8</x:v>
      </x:c>
      <x:c r="F15" s="28" t="n">
        <x:v>164260524</x:v>
      </x:c>
      <x:c r="G15" s="28" t="n">
        <x:v>3910086</x:v>
      </x:c>
      <x:c r="H15" s="29" t="n">
        <x:f>'Pricing'!$D$12</x:f>
        <x:v>5</x:v>
      </x:c>
      <x:c r="I15" s="30" t="n">
        <x:f>IF($Y15="No public API price","",$G15/'Pricing'!$M$2*$H15)</x:f>
        <x:v>19.550430000000002</x:v>
      </x:c>
      <x:c r="J15" s="28" t="n">
        <x:v>148684590</x:v>
      </x:c>
      <x:c r="K15" s="29" t="n">
        <x:f>'Pricing'!$E$12</x:f>
        <x:v>0.5</x:v>
      </x:c>
      <x:c r="L15" s="30" t="n">
        <x:f>IF($Y15="No public API price","",$J15/'Pricing'!$M$2*$K15)</x:f>
        <x:v>74.342295</x:v>
      </x:c>
      <x:c r="M15" s="28" t="n">
        <x:v>11397896</x:v>
      </x:c>
      <x:c r="N15" s="29" t="n">
        <x:f>'Pricing'!$F$12</x:f>
        <x:v>6.25</x:v>
      </x:c>
      <x:c r="O15" s="30" t="n">
        <x:f>IF($Y15="No public API price","",$M15/'Pricing'!$M$2*$N15)</x:f>
        <x:v>71.23684999999999</x:v>
      </x:c>
      <x:c r="P15" s="28" t="n">
        <x:v>267952</x:v>
      </x:c>
      <x:c r="Q15" s="29" t="n">
        <x:f>'Pricing'!$G$12</x:f>
        <x:v>10</x:v>
      </x:c>
      <x:c r="R15" s="30" t="n">
        <x:f>IF($Y15="No public API price","",$P15/'Pricing'!$M$2*$Q15)</x:f>
        <x:v>2.67952</x:v>
      </x:c>
      <x:c r="S15" s="28" t="n">
        <x:v>1491082</x:v>
      </x:c>
      <x:c r="T15" s="29" t="n">
        <x:f>'Pricing'!$H$12</x:f>
        <x:v>25</x:v>
      </x:c>
      <x:c r="U15" s="30" t="n">
        <x:f>IF($Y15="No public API price","",$S15/'Pricing'!$M$2*$T15)</x:f>
        <x:v>37.27705</x:v>
      </x:c>
      <x:c r="V15" s="28" t="n">
        <x:v>0</x:v>
      </x:c>
      <x:c r="W15" s="28" t="n">
        <x:v>165751606</x:v>
      </x:c>
      <x:c r="X15" s="30" t="n">
        <x:f>IF($Y15="No public API price","",SUM($I15,$L15,$O15,$R15,$U15))</x:f>
        <x:v>205.086145</x:v>
      </x:c>
      <x:c r="Y15" s="26" t="str">
        <x:f>'Pricing'!$C$12</x:f>
        <x:v>Published</x:v>
      </x:c>
    </x:row>
    <x:row r="16" ht="20" customHeight="1">
      <x:c r="A16" s="25" t="str">
        <x:v>2026-06-29</x:v>
      </x:c>
      <x:c r="B16" s="26" t="str">
        <x:v>June</x:v>
      </x:c>
      <x:c r="C16" s="27" t="n">
        <x:v>2026</x:v>
      </x:c>
      <x:c r="D16" s="26" t="str">
        <x:v>Anthropic</x:v>
      </x:c>
      <x:c r="E16" s="26" t="str">
        <x:v>claude-opus-4-8</x:v>
      </x:c>
      <x:c r="F16" s="28" t="n">
        <x:v>570347</x:v>
      </x:c>
      <x:c r="G16" s="28" t="n">
        <x:v>48</x:v>
      </x:c>
      <x:c r="H16" s="29" t="n">
        <x:f>'Pricing'!$D$12</x:f>
        <x:v>5</x:v>
      </x:c>
      <x:c r="I16" s="30" t="n">
        <x:f>IF($Y16="No public API price","",$G16/'Pricing'!$M$2*$H16)</x:f>
        <x:v>0.00024</x:v>
      </x:c>
      <x:c r="J16" s="28" t="n">
        <x:v>301036</x:v>
      </x:c>
      <x:c r="K16" s="29" t="n">
        <x:f>'Pricing'!$E$12</x:f>
        <x:v>0.5</x:v>
      </x:c>
      <x:c r="L16" s="30" t="n">
        <x:f>IF($Y16="No public API price","",$J16/'Pricing'!$M$2*$K16)</x:f>
        <x:v>0.150518</x:v>
      </x:c>
      <x:c r="M16" s="28" t="n">
        <x:v>521</x:v>
      </x:c>
      <x:c r="N16" s="29" t="n">
        <x:f>'Pricing'!$F$12</x:f>
        <x:v>6.25</x:v>
      </x:c>
      <x:c r="O16" s="30" t="n">
        <x:f>IF($Y16="No public API price","",$M16/'Pricing'!$M$2*$N16)</x:f>
        <x:v>0.00325625</x:v>
      </x:c>
      <x:c r="P16" s="28" t="n">
        <x:v>268742</x:v>
      </x:c>
      <x:c r="Q16" s="29" t="n">
        <x:f>'Pricing'!$G$12</x:f>
        <x:v>10</x:v>
      </x:c>
      <x:c r="R16" s="30" t="n">
        <x:f>IF($Y16="No public API price","",$P16/'Pricing'!$M$2*$Q16)</x:f>
        <x:v>2.68742</x:v>
      </x:c>
      <x:c r="S16" s="28" t="n">
        <x:v>724</x:v>
      </x:c>
      <x:c r="T16" s="29" t="n">
        <x:f>'Pricing'!$H$12</x:f>
        <x:v>25</x:v>
      </x:c>
      <x:c r="U16" s="30" t="n">
        <x:f>IF($Y16="No public API price","",$S16/'Pricing'!$M$2*$T16)</x:f>
        <x:v>0.0181</x:v>
      </x:c>
      <x:c r="V16" s="28" t="n">
        <x:v>0</x:v>
      </x:c>
      <x:c r="W16" s="28" t="n">
        <x:v>571071</x:v>
      </x:c>
      <x:c r="X16" s="30" t="n">
        <x:f>IF($Y16="No public API price","",SUM($I16,$L16,$O16,$R16,$U16))</x:f>
        <x:v>2.85953425</x:v>
      </x:c>
      <x:c r="Y16" s="26" t="str">
        <x:f>'Pricing'!$C$12</x:f>
        <x:v>Published</x:v>
      </x:c>
    </x:row>
    <x:row r="17" ht="20" customHeight="1">
      <x:c r="A17" s="25" t="str">
        <x:v>2026-07-06</x:v>
      </x:c>
      <x:c r="B17" s="26" t="str">
        <x:v>July</x:v>
      </x:c>
      <x:c r="C17" s="27" t="n">
        <x:v>2026</x:v>
      </x:c>
      <x:c r="D17" s="26" t="str">
        <x:v>Anthropic</x:v>
      </x:c>
      <x:c r="E17" s="26" t="str">
        <x:v>claude-fable-5</x:v>
      </x:c>
      <x:c r="F17" s="28" t="n">
        <x:v>1958069</x:v>
      </x:c>
      <x:c r="G17" s="28" t="n">
        <x:v>19115</x:v>
      </x:c>
      <x:c r="H17" s="29" t="n">
        <x:f>'Pricing'!$D$10</x:f>
        <x:v>10</x:v>
      </x:c>
      <x:c r="I17" s="30" t="n">
        <x:f>IF($Y17="No public API price","",$G17/'Pricing'!$M$2*$H17)</x:f>
        <x:v>0.19115</x:v>
      </x:c>
      <x:c r="J17" s="28" t="n">
        <x:v>1838590</x:v>
      </x:c>
      <x:c r="K17" s="29" t="n">
        <x:f>'Pricing'!$E$10</x:f>
        <x:v>1</x:v>
      </x:c>
      <x:c r="L17" s="30" t="n">
        <x:f>IF($Y17="No public API price","",$J17/'Pricing'!$M$2*$K17)</x:f>
        <x:v>1.83859</x:v>
      </x:c>
      <x:c r="M17" s="28" t="n">
        <x:v>0</x:v>
      </x:c>
      <x:c r="N17" s="29" t="n">
        <x:f>'Pricing'!$F$10</x:f>
        <x:v>12.5</x:v>
      </x:c>
      <x:c r="O17" s="30" t="n">
        <x:f>IF($Y17="No public API price","",$M17/'Pricing'!$M$2*$N17)</x:f>
        <x:v>0</x:v>
      </x:c>
      <x:c r="P17" s="28" t="n">
        <x:v>100364</x:v>
      </x:c>
      <x:c r="Q17" s="29" t="n">
        <x:f>'Pricing'!$G$10</x:f>
        <x:v>20</x:v>
      </x:c>
      <x:c r="R17" s="30" t="n">
        <x:f>IF($Y17="No public API price","",$P17/'Pricing'!$M$2*$Q17)</x:f>
        <x:v>2.0072799999999997</x:v>
      </x:c>
      <x:c r="S17" s="28" t="n">
        <x:v>50312</x:v>
      </x:c>
      <x:c r="T17" s="29" t="n">
        <x:f>'Pricing'!$H$10</x:f>
        <x:v>50</x:v>
      </x:c>
      <x:c r="U17" s="30" t="n">
        <x:f>IF($Y17="No public API price","",$S17/'Pricing'!$M$2*$T17)</x:f>
        <x:v>2.5156</x:v>
      </x:c>
      <x:c r="V17" s="28" t="n">
        <x:v>0</x:v>
      </x:c>
      <x:c r="W17" s="28" t="n">
        <x:v>2008381</x:v>
      </x:c>
      <x:c r="X17" s="30" t="n">
        <x:f>IF($Y17="No public API price","",SUM($I17,$L17,$O17,$R17,$U17))</x:f>
        <x:v>6.55262</x:v>
      </x:c>
      <x:c r="Y17" s="26" t="str">
        <x:f>'Pricing'!$C$10</x:f>
        <x:v>Published</x:v>
      </x:c>
    </x:row>
    <x:row r="18" ht="20" customHeight="1">
      <x:c r="A18" s="25" t="str">
        <x:v>2026-07-06</x:v>
      </x:c>
      <x:c r="B18" s="26" t="str">
        <x:v>July</x:v>
      </x:c>
      <x:c r="C18" s="27" t="n">
        <x:v>2026</x:v>
      </x:c>
      <x:c r="D18" s="26" t="str">
        <x:v>Anthropic</x:v>
      </x:c>
      <x:c r="E18" s="26" t="str">
        <x:v>claude-opus-4-8</x:v>
      </x:c>
      <x:c r="F18" s="28" t="n">
        <x:v>846147</x:v>
      </x:c>
      <x:c r="G18" s="28" t="n">
        <x:v>18700</x:v>
      </x:c>
      <x:c r="H18" s="29" t="n">
        <x:f>'Pricing'!$D$12</x:f>
        <x:v>5</x:v>
      </x:c>
      <x:c r="I18" s="30" t="n">
        <x:f>IF($Y18="No public API price","",$G18/'Pricing'!$M$2*$H18)</x:f>
        <x:v>0.0935</x:v>
      </x:c>
      <x:c r="J18" s="28" t="n">
        <x:v>711619</x:v>
      </x:c>
      <x:c r="K18" s="29" t="n">
        <x:f>'Pricing'!$E$12</x:f>
        <x:v>0.5</x:v>
      </x:c>
      <x:c r="L18" s="30" t="n">
        <x:f>IF($Y18="No public API price","",$J18/'Pricing'!$M$2*$K18)</x:f>
        <x:v>0.3558095</x:v>
      </x:c>
      <x:c r="M18" s="28" t="n">
        <x:v>0</x:v>
      </x:c>
      <x:c r="N18" s="29" t="n">
        <x:f>'Pricing'!$F$12</x:f>
        <x:v>6.25</x:v>
      </x:c>
      <x:c r="O18" s="30" t="n">
        <x:f>IF($Y18="No public API price","",$M18/'Pricing'!$M$2*$N18)</x:f>
        <x:v>0</x:v>
      </x:c>
      <x:c r="P18" s="28" t="n">
        <x:v>115828</x:v>
      </x:c>
      <x:c r="Q18" s="29" t="n">
        <x:f>'Pricing'!$G$12</x:f>
        <x:v>10</x:v>
      </x:c>
      <x:c r="R18" s="30" t="n">
        <x:f>IF($Y18="No public API price","",$P18/'Pricing'!$M$2*$Q18)</x:f>
        <x:v>1.15828</x:v>
      </x:c>
      <x:c r="S18" s="28" t="n">
        <x:v>24283</x:v>
      </x:c>
      <x:c r="T18" s="29" t="n">
        <x:f>'Pricing'!$H$12</x:f>
        <x:v>25</x:v>
      </x:c>
      <x:c r="U18" s="30" t="n">
        <x:f>IF($Y18="No public API price","",$S18/'Pricing'!$M$2*$T18)</x:f>
        <x:v>0.607075</x:v>
      </x:c>
      <x:c r="V18" s="28" t="n">
        <x:v>0</x:v>
      </x:c>
      <x:c r="W18" s="28" t="n">
        <x:v>870430</x:v>
      </x:c>
      <x:c r="X18" s="30" t="n">
        <x:f>IF($Y18="No public API price","",SUM($I18,$L18,$O18,$R18,$U18))</x:f>
        <x:v>2.2146645</x:v>
      </x:c>
      <x:c r="Y18" s="26" t="str">
        <x:f>'Pricing'!$C$12</x:f>
        <x:v>Published</x:v>
      </x:c>
    </x:row>
    <x:row r="19" ht="20" customHeight="1">
      <x:c r="A19" s="25" t="str">
        <x:v>2026-07-07</x:v>
      </x:c>
      <x:c r="B19" s="26" t="str">
        <x:v>July</x:v>
      </x:c>
      <x:c r="C19" s="27" t="n">
        <x:v>2026</x:v>
      </x:c>
      <x:c r="D19" s="26" t="str">
        <x:v>Anthropic</x:v>
      </x:c>
      <x:c r="E19" s="26" t="str">
        <x:v>claude-opus-4-8</x:v>
      </x:c>
      <x:c r="F19" s="28" t="n">
        <x:v>382664</x:v>
      </x:c>
      <x:c r="G19" s="28" t="n">
        <x:v>45697</x:v>
      </x:c>
      <x:c r="H19" s="29" t="n">
        <x:f>'Pricing'!$D$12</x:f>
        <x:v>5</x:v>
      </x:c>
      <x:c r="I19" s="30" t="n">
        <x:f>IF($Y19="No public API price","",$G19/'Pricing'!$M$2*$H19)</x:f>
        <x:v>0.228485</x:v>
      </x:c>
      <x:c r="J19" s="28" t="n">
        <x:v>278199</x:v>
      </x:c>
      <x:c r="K19" s="29" t="n">
        <x:f>'Pricing'!$E$12</x:f>
        <x:v>0.5</x:v>
      </x:c>
      <x:c r="L19" s="30" t="n">
        <x:f>IF($Y19="No public API price","",$J19/'Pricing'!$M$2*$K19)</x:f>
        <x:v>0.1390995</x:v>
      </x:c>
      <x:c r="M19" s="28" t="n">
        <x:v>0</x:v>
      </x:c>
      <x:c r="N19" s="29" t="n">
        <x:f>'Pricing'!$F$12</x:f>
        <x:v>6.25</x:v>
      </x:c>
      <x:c r="O19" s="30" t="n">
        <x:f>IF($Y19="No public API price","",$M19/'Pricing'!$M$2*$N19)</x:f>
        <x:v>0</x:v>
      </x:c>
      <x:c r="P19" s="28" t="n">
        <x:v>58768</x:v>
      </x:c>
      <x:c r="Q19" s="29" t="n">
        <x:f>'Pricing'!$G$12</x:f>
        <x:v>10</x:v>
      </x:c>
      <x:c r="R19" s="30" t="n">
        <x:f>IF($Y19="No public API price","",$P19/'Pricing'!$M$2*$Q19)</x:f>
        <x:v>0.58768</x:v>
      </x:c>
      <x:c r="S19" s="28" t="n">
        <x:v>14000</x:v>
      </x:c>
      <x:c r="T19" s="29" t="n">
        <x:f>'Pricing'!$H$12</x:f>
        <x:v>25</x:v>
      </x:c>
      <x:c r="U19" s="30" t="n">
        <x:f>IF($Y19="No public API price","",$S19/'Pricing'!$M$2*$T19)</x:f>
        <x:v>0.35000000000000003</x:v>
      </x:c>
      <x:c r="V19" s="28" t="n">
        <x:v>0</x:v>
      </x:c>
      <x:c r="W19" s="28" t="n">
        <x:v>396664</x:v>
      </x:c>
      <x:c r="X19" s="30" t="n">
        <x:f>IF($Y19="No public API price","",SUM($I19,$L19,$O19,$R19,$U19))</x:f>
        <x:v>1.3052645</x:v>
      </x:c>
      <x:c r="Y19" s="26" t="str">
        <x:f>'Pricing'!$C$12</x:f>
        <x:v>Published</x:v>
      </x:c>
    </x:row>
    <x:row r="20" ht="20" customHeight="1">
      <x:c r="A20" s="25" t="str">
        <x:v>2026-07-08</x:v>
      </x:c>
      <x:c r="B20" s="26" t="str">
        <x:v>July</x:v>
      </x:c>
      <x:c r="C20" s="27" t="n">
        <x:v>2026</x:v>
      </x:c>
      <x:c r="D20" s="26" t="str">
        <x:v>Anthropic</x:v>
      </x:c>
      <x:c r="E20" s="26" t="str">
        <x:v>claude-fable-5</x:v>
      </x:c>
      <x:c r="F20" s="28" t="n">
        <x:v>79272291</x:v>
      </x:c>
      <x:c r="G20" s="28" t="n">
        <x:v>130058</x:v>
      </x:c>
      <x:c r="H20" s="29" t="n">
        <x:f>'Pricing'!$D$10</x:f>
        <x:v>10</x:v>
      </x:c>
      <x:c r="I20" s="30" t="n">
        <x:f>IF($Y20="No public API price","",$G20/'Pricing'!$M$2*$H20)</x:f>
        <x:v>1.30058</x:v>
      </x:c>
      <x:c r="J20" s="28" t="n">
        <x:v>76206184</x:v>
      </x:c>
      <x:c r="K20" s="29" t="n">
        <x:f>'Pricing'!$E$10</x:f>
        <x:v>1</x:v>
      </x:c>
      <x:c r="L20" s="30" t="n">
        <x:f>IF($Y20="No public API price","",$J20/'Pricing'!$M$2*$K20)</x:f>
        <x:v>76.206184</x:v>
      </x:c>
      <x:c r="M20" s="28" t="n">
        <x:v>2936049</x:v>
      </x:c>
      <x:c r="N20" s="29" t="n">
        <x:f>'Pricing'!$F$10</x:f>
        <x:v>12.5</x:v>
      </x:c>
      <x:c r="O20" s="30" t="n">
        <x:f>IF($Y20="No public API price","",$M20/'Pricing'!$M$2*$N20)</x:f>
        <x:v>36.7006125</x:v>
      </x:c>
      <x:c r="P20" s="28" t="n">
        <x:v>0</x:v>
      </x:c>
      <x:c r="Q20" s="29" t="n">
        <x:f>'Pricing'!$G$10</x:f>
        <x:v>20</x:v>
      </x:c>
      <x:c r="R20" s="30" t="n">
        <x:f>IF($Y20="No public API price","",$P20/'Pricing'!$M$2*$Q20)</x:f>
        <x:v>0</x:v>
      </x:c>
      <x:c r="S20" s="28" t="n">
        <x:v>376199</x:v>
      </x:c>
      <x:c r="T20" s="29" t="n">
        <x:f>'Pricing'!$H$10</x:f>
        <x:v>50</x:v>
      </x:c>
      <x:c r="U20" s="30" t="n">
        <x:f>IF($Y20="No public API price","",$S20/'Pricing'!$M$2*$T20)</x:f>
        <x:v>18.80995</x:v>
      </x:c>
      <x:c r="V20" s="28" t="n">
        <x:v>0</x:v>
      </x:c>
      <x:c r="W20" s="28" t="n">
        <x:v>79648490</x:v>
      </x:c>
      <x:c r="X20" s="30" t="n">
        <x:f>IF($Y20="No public API price","",SUM($I20,$L20,$O20,$R20,$U20))</x:f>
        <x:v>133.01732649999997</x:v>
      </x:c>
      <x:c r="Y20" s="26" t="str">
        <x:f>'Pricing'!$C$10</x:f>
        <x:v>Published</x:v>
      </x:c>
    </x:row>
    <x:row r="21" ht="20" customHeight="1">
      <x:c r="A21" s="25" t="str">
        <x:v>2026-07-08</x:v>
      </x:c>
      <x:c r="B21" s="26" t="str">
        <x:v>July</x:v>
      </x:c>
      <x:c r="C21" s="27" t="n">
        <x:v>2026</x:v>
      </x:c>
      <x:c r="D21" s="26" t="str">
        <x:v>Anthropic</x:v>
      </x:c>
      <x:c r="E21" s="26" t="str">
        <x:v>claude-opus-4-8</x:v>
      </x:c>
      <x:c r="F21" s="28" t="n">
        <x:v>13185178</x:v>
      </x:c>
      <x:c r="G21" s="28" t="n">
        <x:v>277027</x:v>
      </x:c>
      <x:c r="H21" s="29" t="n">
        <x:f>'Pricing'!$D$12</x:f>
        <x:v>5</x:v>
      </x:c>
      <x:c r="I21" s="30" t="n">
        <x:f>IF($Y21="No public API price","",$G21/'Pricing'!$M$2*$H21)</x:f>
        <x:v>1.385135</x:v>
      </x:c>
      <x:c r="J21" s="28" t="n">
        <x:v>10963633</x:v>
      </x:c>
      <x:c r="K21" s="29" t="n">
        <x:f>'Pricing'!$E$12</x:f>
        <x:v>0.5</x:v>
      </x:c>
      <x:c r="L21" s="30" t="n">
        <x:f>IF($Y21="No public API price","",$J21/'Pricing'!$M$2*$K21)</x:f>
        <x:v>5.4818165</x:v>
      </x:c>
      <x:c r="M21" s="28" t="n">
        <x:v>1834615</x:v>
      </x:c>
      <x:c r="N21" s="29" t="n">
        <x:f>'Pricing'!$F$12</x:f>
        <x:v>6.25</x:v>
      </x:c>
      <x:c r="O21" s="30" t="n">
        <x:f>IF($Y21="No public API price","",$M21/'Pricing'!$M$2*$N21)</x:f>
        <x:v>11.46634375</x:v>
      </x:c>
      <x:c r="P21" s="28" t="n">
        <x:v>109903</x:v>
      </x:c>
      <x:c r="Q21" s="29" t="n">
        <x:f>'Pricing'!$G$12</x:f>
        <x:v>10</x:v>
      </x:c>
      <x:c r="R21" s="30" t="n">
        <x:f>IF($Y21="No public API price","",$P21/'Pricing'!$M$2*$Q21)</x:f>
        <x:v>1.09903</x:v>
      </x:c>
      <x:c r="S21" s="28" t="n">
        <x:v>263210</x:v>
      </x:c>
      <x:c r="T21" s="29" t="n">
        <x:f>'Pricing'!$H$12</x:f>
        <x:v>25</x:v>
      </x:c>
      <x:c r="U21" s="30" t="n">
        <x:f>IF($Y21="No public API price","",$S21/'Pricing'!$M$2*$T21)</x:f>
        <x:v>6.58025</x:v>
      </x:c>
      <x:c r="V21" s="28" t="n">
        <x:v>0</x:v>
      </x:c>
      <x:c r="W21" s="28" t="n">
        <x:v>13448388</x:v>
      </x:c>
      <x:c r="X21" s="30" t="n">
        <x:f>IF($Y21="No public API price","",SUM($I21,$L21,$O21,$R21,$U21))</x:f>
        <x:v>26.012575249999998</x:v>
      </x:c>
      <x:c r="Y21" s="26" t="str">
        <x:f>'Pricing'!$C$12</x:f>
        <x:v>Published</x:v>
      </x:c>
    </x:row>
    <x:row r="22" ht="20" customHeight="1">
      <x:c r="A22" s="25" t="str">
        <x:v>2026-07-09</x:v>
      </x:c>
      <x:c r="B22" s="26" t="str">
        <x:v>July</x:v>
      </x:c>
      <x:c r="C22" s="27" t="n">
        <x:v>2026</x:v>
      </x:c>
      <x:c r="D22" s="26" t="str">
        <x:v>Anthropic</x:v>
      </x:c>
      <x:c r="E22" s="26" t="str">
        <x:v>claude-fable-5</x:v>
      </x:c>
      <x:c r="F22" s="28" t="n">
        <x:v>211048296</x:v>
      </x:c>
      <x:c r="G22" s="28" t="n">
        <x:v>62905</x:v>
      </x:c>
      <x:c r="H22" s="29" t="n">
        <x:f>'Pricing'!$D$10</x:f>
        <x:v>10</x:v>
      </x:c>
      <x:c r="I22" s="30" t="n">
        <x:f>IF($Y22="No public API price","",$G22/'Pricing'!$M$2*$H22)</x:f>
        <x:v>0.62905</x:v>
      </x:c>
      <x:c r="J22" s="28" t="n">
        <x:v>207586952</x:v>
      </x:c>
      <x:c r="K22" s="29" t="n">
        <x:f>'Pricing'!$E$10</x:f>
        <x:v>1</x:v>
      </x:c>
      <x:c r="L22" s="30" t="n">
        <x:f>IF($Y22="No public API price","",$J22/'Pricing'!$M$2*$K22)</x:f>
        <x:v>207.586952</x:v>
      </x:c>
      <x:c r="M22" s="28" t="n">
        <x:v>2331992</x:v>
      </x:c>
      <x:c r="N22" s="29" t="n">
        <x:f>'Pricing'!$F$10</x:f>
        <x:v>12.5</x:v>
      </x:c>
      <x:c r="O22" s="30" t="n">
        <x:f>IF($Y22="No public API price","",$M22/'Pricing'!$M$2*$N22)</x:f>
        <x:v>29.149900000000002</x:v>
      </x:c>
      <x:c r="P22" s="28" t="n">
        <x:v>1066447</x:v>
      </x:c>
      <x:c r="Q22" s="29" t="n">
        <x:f>'Pricing'!$G$10</x:f>
        <x:v>20</x:v>
      </x:c>
      <x:c r="R22" s="30" t="n">
        <x:f>IF($Y22="No public API price","",$P22/'Pricing'!$M$2*$Q22)</x:f>
        <x:v>21.32894</x:v>
      </x:c>
      <x:c r="S22" s="28" t="n">
        <x:v>476810</x:v>
      </x:c>
      <x:c r="T22" s="29" t="n">
        <x:f>'Pricing'!$H$10</x:f>
        <x:v>50</x:v>
      </x:c>
      <x:c r="U22" s="30" t="n">
        <x:f>IF($Y22="No public API price","",$S22/'Pricing'!$M$2*$T22)</x:f>
        <x:v>23.840500000000002</x:v>
      </x:c>
      <x:c r="V22" s="28" t="n">
        <x:v>0</x:v>
      </x:c>
      <x:c r="W22" s="28" t="n">
        <x:v>211525106</x:v>
      </x:c>
      <x:c r="X22" s="30" t="n">
        <x:f>IF($Y22="No public API price","",SUM($I22,$L22,$O22,$R22,$U22))</x:f>
        <x:v>282.535342</x:v>
      </x:c>
      <x:c r="Y22" s="26" t="str">
        <x:f>'Pricing'!$C$10</x:f>
        <x:v>Published</x:v>
      </x:c>
    </x:row>
    <x:row r="23" ht="20" customHeight="1">
      <x:c r="A23" s="25" t="str">
        <x:v>2026-07-09</x:v>
      </x:c>
      <x:c r="B23" s="26" t="str">
        <x:v>July</x:v>
      </x:c>
      <x:c r="C23" s="27" t="n">
        <x:v>2026</x:v>
      </x:c>
      <x:c r="D23" s="26" t="str">
        <x:v>Anthropic</x:v>
      </x:c>
      <x:c r="E23" s="26" t="str">
        <x:v>claude-opus-4-8</x:v>
      </x:c>
      <x:c r="F23" s="28" t="n">
        <x:v>11596843</x:v>
      </x:c>
      <x:c r="G23" s="28" t="n">
        <x:v>170694</x:v>
      </x:c>
      <x:c r="H23" s="29" t="n">
        <x:f>'Pricing'!$D$12</x:f>
        <x:v>5</x:v>
      </x:c>
      <x:c r="I23" s="30" t="n">
        <x:f>IF($Y23="No public API price","",$G23/'Pricing'!$M$2*$H23)</x:f>
        <x:v>0.8534700000000001</x:v>
      </x:c>
      <x:c r="J23" s="28" t="n">
        <x:v>9883143</x:v>
      </x:c>
      <x:c r="K23" s="29" t="n">
        <x:f>'Pricing'!$E$12</x:f>
        <x:v>0.5</x:v>
      </x:c>
      <x:c r="L23" s="30" t="n">
        <x:f>IF($Y23="No public API price","",$J23/'Pricing'!$M$2*$K23)</x:f>
        <x:v>4.9415715</x:v>
      </x:c>
      <x:c r="M23" s="28" t="n">
        <x:v>1543006</x:v>
      </x:c>
      <x:c r="N23" s="29" t="n">
        <x:f>'Pricing'!$F$12</x:f>
        <x:v>6.25</x:v>
      </x:c>
      <x:c r="O23" s="30" t="n">
        <x:f>IF($Y23="No public API price","",$M23/'Pricing'!$M$2*$N23)</x:f>
        <x:v>9.6437875</x:v>
      </x:c>
      <x:c r="P23" s="28" t="n">
        <x:v>0</x:v>
      </x:c>
      <x:c r="Q23" s="29" t="n">
        <x:f>'Pricing'!$G$12</x:f>
        <x:v>10</x:v>
      </x:c>
      <x:c r="R23" s="30" t="n">
        <x:f>IF($Y23="No public API price","",$P23/'Pricing'!$M$2*$Q23)</x:f>
        <x:v>0</x:v>
      </x:c>
      <x:c r="S23" s="28" t="n">
        <x:v>150308</x:v>
      </x:c>
      <x:c r="T23" s="29" t="n">
        <x:f>'Pricing'!$H$12</x:f>
        <x:v>25</x:v>
      </x:c>
      <x:c r="U23" s="30" t="n">
        <x:f>IF($Y23="No public API price","",$S23/'Pricing'!$M$2*$T23)</x:f>
        <x:v>3.7577</x:v>
      </x:c>
      <x:c r="V23" s="28" t="n">
        <x:v>0</x:v>
      </x:c>
      <x:c r="W23" s="28" t="n">
        <x:v>11747151</x:v>
      </x:c>
      <x:c r="X23" s="30" t="n">
        <x:f>IF($Y23="No public API price","",SUM($I23,$L23,$O23,$R23,$U23))</x:f>
        <x:v>19.196528999999998</x:v>
      </x:c>
      <x:c r="Y23" s="26" t="str">
        <x:f>'Pricing'!$C$12</x:f>
        <x:v>Published</x:v>
      </x:c>
    </x:row>
    <x:row r="24" ht="20" customHeight="1">
      <x:c r="A24" s="25" t="str">
        <x:v>2026-07-10</x:v>
      </x:c>
      <x:c r="B24" s="26" t="str">
        <x:v>July</x:v>
      </x:c>
      <x:c r="C24" s="27" t="n">
        <x:v>2026</x:v>
      </x:c>
      <x:c r="D24" s="26" t="str">
        <x:v>Anthropic</x:v>
      </x:c>
      <x:c r="E24" s="26" t="str">
        <x:v>claude-fable-5</x:v>
      </x:c>
      <x:c r="F24" s="28" t="n">
        <x:v>522310970</x:v>
      </x:c>
      <x:c r="G24" s="28" t="n">
        <x:v>265864</x:v>
      </x:c>
      <x:c r="H24" s="29" t="n">
        <x:f>'Pricing'!$D$10</x:f>
        <x:v>10</x:v>
      </x:c>
      <x:c r="I24" s="30" t="n">
        <x:f>IF($Y24="No public API price","",$G24/'Pricing'!$M$2*$H24)</x:f>
        <x:v>2.65864</x:v>
      </x:c>
      <x:c r="J24" s="28" t="n">
        <x:v>516379209</x:v>
      </x:c>
      <x:c r="K24" s="29" t="n">
        <x:f>'Pricing'!$E$10</x:f>
        <x:v>1</x:v>
      </x:c>
      <x:c r="L24" s="30" t="n">
        <x:f>IF($Y24="No public API price","",$J24/'Pricing'!$M$2*$K24)</x:f>
        <x:v>516.379209</x:v>
      </x:c>
      <x:c r="M24" s="28" t="n">
        <x:v>308471</x:v>
      </x:c>
      <x:c r="N24" s="29" t="n">
        <x:f>'Pricing'!$F$10</x:f>
        <x:v>12.5</x:v>
      </x:c>
      <x:c r="O24" s="30" t="n">
        <x:f>IF($Y24="No public API price","",$M24/'Pricing'!$M$2*$N24)</x:f>
        <x:v>3.8558875</x:v>
      </x:c>
      <x:c r="P24" s="28" t="n">
        <x:v>5357426</x:v>
      </x:c>
      <x:c r="Q24" s="29" t="n">
        <x:f>'Pricing'!$G$10</x:f>
        <x:v>20</x:v>
      </x:c>
      <x:c r="R24" s="30" t="n">
        <x:f>IF($Y24="No public API price","",$P24/'Pricing'!$M$2*$Q24)</x:f>
        <x:v>107.14852</x:v>
      </x:c>
      <x:c r="S24" s="28" t="n">
        <x:v>1015279</x:v>
      </x:c>
      <x:c r="T24" s="29" t="n">
        <x:f>'Pricing'!$H$10</x:f>
        <x:v>50</x:v>
      </x:c>
      <x:c r="U24" s="30" t="n">
        <x:f>IF($Y24="No public API price","",$S24/'Pricing'!$M$2*$T24)</x:f>
        <x:v>50.76395</x:v>
      </x:c>
      <x:c r="V24" s="28" t="n">
        <x:v>0</x:v>
      </x:c>
      <x:c r="W24" s="28" t="n">
        <x:v>523326249</x:v>
      </x:c>
      <x:c r="X24" s="30" t="n">
        <x:f>IF($Y24="No public API price","",SUM($I24,$L24,$O24,$R24,$U24))</x:f>
        <x:v>680.8062064999999</x:v>
      </x:c>
      <x:c r="Y24" s="26" t="str">
        <x:f>'Pricing'!$C$10</x:f>
        <x:v>Published</x:v>
      </x:c>
    </x:row>
    <x:row r="25" ht="20" customHeight="1">
      <x:c r="A25" s="25" t="str">
        <x:v>2026-07-10</x:v>
      </x:c>
      <x:c r="B25" s="26" t="str">
        <x:v>July</x:v>
      </x:c>
      <x:c r="C25" s="27" t="n">
        <x:v>2026</x:v>
      </x:c>
      <x:c r="D25" s="26" t="str">
        <x:v>Anthropic</x:v>
      </x:c>
      <x:c r="E25" s="26" t="str">
        <x:v>claude-opus-4-8</x:v>
      </x:c>
      <x:c r="F25" s="28" t="n">
        <x:v>29417289</x:v>
      </x:c>
      <x:c r="G25" s="28" t="n">
        <x:v>640341</x:v>
      </x:c>
      <x:c r="H25" s="29" t="n">
        <x:f>'Pricing'!$D$12</x:f>
        <x:v>5</x:v>
      </x:c>
      <x:c r="I25" s="30" t="n">
        <x:f>IF($Y25="No public API price","",$G25/'Pricing'!$M$2*$H25)</x:f>
        <x:v>3.2017050000000005</x:v>
      </x:c>
      <x:c r="J25" s="28" t="n">
        <x:v>23960545</x:v>
      </x:c>
      <x:c r="K25" s="29" t="n">
        <x:f>'Pricing'!$E$12</x:f>
        <x:v>0.5</x:v>
      </x:c>
      <x:c r="L25" s="30" t="n">
        <x:f>IF($Y25="No public API price","",$J25/'Pricing'!$M$2*$K25)</x:f>
        <x:v>11.9802725</x:v>
      </x:c>
      <x:c r="M25" s="28" t="n">
        <x:v>4816403</x:v>
      </x:c>
      <x:c r="N25" s="29" t="n">
        <x:f>'Pricing'!$F$12</x:f>
        <x:v>6.25</x:v>
      </x:c>
      <x:c r="O25" s="30" t="n">
        <x:f>IF($Y25="No public API price","",$M25/'Pricing'!$M$2*$N25)</x:f>
        <x:v>30.10251875</x:v>
      </x:c>
      <x:c r="P25" s="28" t="n">
        <x:v>0</x:v>
      </x:c>
      <x:c r="Q25" s="29" t="n">
        <x:f>'Pricing'!$G$12</x:f>
        <x:v>10</x:v>
      </x:c>
      <x:c r="R25" s="30" t="n">
        <x:f>IF($Y25="No public API price","",$P25/'Pricing'!$M$2*$Q25)</x:f>
        <x:v>0</x:v>
      </x:c>
      <x:c r="S25" s="28" t="n">
        <x:v>507630</x:v>
      </x:c>
      <x:c r="T25" s="29" t="n">
        <x:f>'Pricing'!$H$12</x:f>
        <x:v>25</x:v>
      </x:c>
      <x:c r="U25" s="30" t="n">
        <x:f>IF($Y25="No public API price","",$S25/'Pricing'!$M$2*$T25)</x:f>
        <x:v>12.690750000000001</x:v>
      </x:c>
      <x:c r="V25" s="28" t="n">
        <x:v>0</x:v>
      </x:c>
      <x:c r="W25" s="28" t="n">
        <x:v>29924919</x:v>
      </x:c>
      <x:c r="X25" s="30" t="n">
        <x:f>IF($Y25="No public API price","",SUM($I25,$L25,$O25,$R25,$U25))</x:f>
        <x:v>57.975246250000005</x:v>
      </x:c>
      <x:c r="Y25" s="26" t="str">
        <x:f>'Pricing'!$C$12</x:f>
        <x:v>Published</x:v>
      </x:c>
    </x:row>
    <x:row r="26" ht="20" customHeight="1">
      <x:c r="A26" s="25" t="str">
        <x:v>2026-07-10</x:v>
      </x:c>
      <x:c r="B26" s="26" t="str">
        <x:v>July</x:v>
      </x:c>
      <x:c r="C26" s="27" t="n">
        <x:v>2026</x:v>
      </x:c>
      <x:c r="D26" s="26" t="str">
        <x:v>Anthropic</x:v>
      </x:c>
      <x:c r="E26" s="26" t="str">
        <x:v>claude-sonnet-5</x:v>
      </x:c>
      <x:c r="F26" s="28" t="n">
        <x:v>29710318</x:v>
      </x:c>
      <x:c r="G26" s="28" t="n">
        <x:v>92661</x:v>
      </x:c>
      <x:c r="H26" s="29" t="n">
        <x:f>'Pricing'!$D$13</x:f>
        <x:v>2</x:v>
      </x:c>
      <x:c r="I26" s="30" t="n">
        <x:f>IF($Y26="No public API price","",$G26/'Pricing'!$M$2*$H26)</x:f>
        <x:v>0.185322</x:v>
      </x:c>
      <x:c r="J26" s="28" t="n">
        <x:v>28658606</x:v>
      </x:c>
      <x:c r="K26" s="29" t="n">
        <x:f>'Pricing'!$E$13</x:f>
        <x:v>0.2</x:v>
      </x:c>
      <x:c r="L26" s="30" t="n">
        <x:f>IF($Y26="No public API price","",$J26/'Pricing'!$M$2*$K26)</x:f>
        <x:v>5.7317212</x:v>
      </x:c>
      <x:c r="M26" s="28" t="n">
        <x:v>959051</x:v>
      </x:c>
      <x:c r="N26" s="29" t="n">
        <x:f>'Pricing'!$F$13</x:f>
        <x:v>2.5</x:v>
      </x:c>
      <x:c r="O26" s="30" t="n">
        <x:f>IF($Y26="No public API price","",$M26/'Pricing'!$M$2*$N26)</x:f>
        <x:v>2.3976275</x:v>
      </x:c>
      <x:c r="P26" s="28" t="n">
        <x:v>0</x:v>
      </x:c>
      <x:c r="Q26" s="29" t="n">
        <x:f>'Pricing'!$G$13</x:f>
        <x:v>4</x:v>
      </x:c>
      <x:c r="R26" s="30" t="n">
        <x:f>IF($Y26="No public API price","",$P26/'Pricing'!$M$2*$Q26)</x:f>
        <x:v>0</x:v>
      </x:c>
      <x:c r="S26" s="28" t="n">
        <x:v>190420</x:v>
      </x:c>
      <x:c r="T26" s="29" t="n">
        <x:f>'Pricing'!$H$13</x:f>
        <x:v>10</x:v>
      </x:c>
      <x:c r="U26" s="30" t="n">
        <x:f>IF($Y26="No public API price","",$S26/'Pricing'!$M$2*$T26)</x:f>
        <x:v>1.9042000000000001</x:v>
      </x:c>
      <x:c r="V26" s="28" t="n">
        <x:v>0</x:v>
      </x:c>
      <x:c r="W26" s="28" t="n">
        <x:v>29900738</x:v>
      </x:c>
      <x:c r="X26" s="30" t="n">
        <x:f>IF($Y26="No public API price","",SUM($I26,$L26,$O26,$R26,$U26))</x:f>
        <x:v>10.2188707</x:v>
      </x:c>
      <x:c r="Y26" s="26" t="str">
        <x:f>'Pricing'!$C$13</x:f>
        <x:v>Published</x:v>
      </x:c>
    </x:row>
    <x:row r="27" ht="20" customHeight="1">
      <x:c r="A27" s="25" t="str">
        <x:v>2026-07-11</x:v>
      </x:c>
      <x:c r="B27" s="26" t="str">
        <x:v>July</x:v>
      </x:c>
      <x:c r="C27" s="27" t="n">
        <x:v>2026</x:v>
      </x:c>
      <x:c r="D27" s="26" t="str">
        <x:v>Anthropic</x:v>
      </x:c>
      <x:c r="E27" s="26" t="str">
        <x:v>claude-fable-5</x:v>
      </x:c>
      <x:c r="F27" s="28" t="n">
        <x:v>233508681</x:v>
      </x:c>
      <x:c r="G27" s="28" t="n">
        <x:v>34822</x:v>
      </x:c>
      <x:c r="H27" s="29" t="n">
        <x:f>'Pricing'!$D$10</x:f>
        <x:v>10</x:v>
      </x:c>
      <x:c r="I27" s="30" t="n">
        <x:f>IF($Y27="No public API price","",$G27/'Pricing'!$M$2*$H27)</x:f>
        <x:v>0.34822</x:v>
      </x:c>
      <x:c r="J27" s="28" t="n">
        <x:v>228727984</x:v>
      </x:c>
      <x:c r="K27" s="29" t="n">
        <x:f>'Pricing'!$E$10</x:f>
        <x:v>1</x:v>
      </x:c>
      <x:c r="L27" s="30" t="n">
        <x:f>IF($Y27="No public API price","",$J27/'Pricing'!$M$2*$K27)</x:f>
        <x:v>228.727984</x:v>
      </x:c>
      <x:c r="M27" s="28" t="n">
        <x:v>0</x:v>
      </x:c>
      <x:c r="N27" s="29" t="n">
        <x:f>'Pricing'!$F$10</x:f>
        <x:v>12.5</x:v>
      </x:c>
      <x:c r="O27" s="30" t="n">
        <x:f>IF($Y27="No public API price","",$M27/'Pricing'!$M$2*$N27)</x:f>
        <x:v>0</x:v>
      </x:c>
      <x:c r="P27" s="28" t="n">
        <x:v>4745875</x:v>
      </x:c>
      <x:c r="Q27" s="29" t="n">
        <x:f>'Pricing'!$G$10</x:f>
        <x:v>20</x:v>
      </x:c>
      <x:c r="R27" s="30" t="n">
        <x:f>IF($Y27="No public API price","",$P27/'Pricing'!$M$2*$Q27)</x:f>
        <x:v>94.91749999999999</x:v>
      </x:c>
      <x:c r="S27" s="28" t="n">
        <x:v>595940</x:v>
      </x:c>
      <x:c r="T27" s="29" t="n">
        <x:f>'Pricing'!$H$10</x:f>
        <x:v>50</x:v>
      </x:c>
      <x:c r="U27" s="30" t="n">
        <x:f>IF($Y27="No public API price","",$S27/'Pricing'!$M$2*$T27)</x:f>
        <x:v>29.797</x:v>
      </x:c>
      <x:c r="V27" s="28" t="n">
        <x:v>0</x:v>
      </x:c>
      <x:c r="W27" s="28" t="n">
        <x:v>234104621</x:v>
      </x:c>
      <x:c r="X27" s="30" t="n">
        <x:f>IF($Y27="No public API price","",SUM($I27,$L27,$O27,$R27,$U27))</x:f>
        <x:v>353.790704</x:v>
      </x:c>
      <x:c r="Y27" s="26" t="str">
        <x:f>'Pricing'!$C$10</x:f>
        <x:v>Published</x:v>
      </x:c>
    </x:row>
    <x:row r="28" ht="20" customHeight="1">
      <x:c r="A28" s="25" t="str">
        <x:v>2026-07-11</x:v>
      </x:c>
      <x:c r="B28" s="26" t="str">
        <x:v>July</x:v>
      </x:c>
      <x:c r="C28" s="27" t="n">
        <x:v>2026</x:v>
      </x:c>
      <x:c r="D28" s="26" t="str">
        <x:v>Anthropic</x:v>
      </x:c>
      <x:c r="E28" s="26" t="str">
        <x:v>claude-opus-4-8</x:v>
      </x:c>
      <x:c r="F28" s="28" t="n">
        <x:v>65059832</x:v>
      </x:c>
      <x:c r="G28" s="28" t="n">
        <x:v>546910</x:v>
      </x:c>
      <x:c r="H28" s="29" t="n">
        <x:f>'Pricing'!$D$12</x:f>
        <x:v>5</x:v>
      </x:c>
      <x:c r="I28" s="30" t="n">
        <x:f>IF($Y28="No public API price","",$G28/'Pricing'!$M$2*$H28)</x:f>
        <x:v>2.73455</x:v>
      </x:c>
      <x:c r="J28" s="28" t="n">
        <x:v>56260071</x:v>
      </x:c>
      <x:c r="K28" s="29" t="n">
        <x:f>'Pricing'!$E$12</x:f>
        <x:v>0.5</x:v>
      </x:c>
      <x:c r="L28" s="30" t="n">
        <x:f>IF($Y28="No public API price","",$J28/'Pricing'!$M$2*$K28)</x:f>
        <x:v>28.1300355</x:v>
      </x:c>
      <x:c r="M28" s="28" t="n">
        <x:v>7441673</x:v>
      </x:c>
      <x:c r="N28" s="29" t="n">
        <x:f>'Pricing'!$F$12</x:f>
        <x:v>6.25</x:v>
      </x:c>
      <x:c r="O28" s="30" t="n">
        <x:f>IF($Y28="No public API price","",$M28/'Pricing'!$M$2*$N28)</x:f>
        <x:v>46.51045625</x:v>
      </x:c>
      <x:c r="P28" s="28" t="n">
        <x:v>811178</x:v>
      </x:c>
      <x:c r="Q28" s="29" t="n">
        <x:f>'Pricing'!$G$12</x:f>
        <x:v>10</x:v>
      </x:c>
      <x:c r="R28" s="30" t="n">
        <x:f>IF($Y28="No public API price","",$P28/'Pricing'!$M$2*$Q28)</x:f>
        <x:v>8.11178</x:v>
      </x:c>
      <x:c r="S28" s="28" t="n">
        <x:v>629809</x:v>
      </x:c>
      <x:c r="T28" s="29" t="n">
        <x:f>'Pricing'!$H$12</x:f>
        <x:v>25</x:v>
      </x:c>
      <x:c r="U28" s="30" t="n">
        <x:f>IF($Y28="No public API price","",$S28/'Pricing'!$M$2*$T28)</x:f>
        <x:v>15.745225</x:v>
      </x:c>
      <x:c r="V28" s="28" t="n">
        <x:v>0</x:v>
      </x:c>
      <x:c r="W28" s="28" t="n">
        <x:v>65689641</x:v>
      </x:c>
      <x:c r="X28" s="30" t="n">
        <x:f>IF($Y28="No public API price","",SUM($I28,$L28,$O28,$R28,$U28))</x:f>
        <x:v>101.23204675</x:v>
      </x:c>
      <x:c r="Y28" s="26" t="str">
        <x:f>'Pricing'!$C$12</x:f>
        <x:v>Published</x:v>
      </x:c>
    </x:row>
    <x:row r="29" ht="20" customHeight="1">
      <x:c r="A29" s="25" t="str">
        <x:v>2026-07-11</x:v>
      </x:c>
      <x:c r="B29" s="26" t="str">
        <x:v>July</x:v>
      </x:c>
      <x:c r="C29" s="27" t="n">
        <x:v>2026</x:v>
      </x:c>
      <x:c r="D29" s="26" t="str">
        <x:v>Anthropic</x:v>
      </x:c>
      <x:c r="E29" s="26" t="str">
        <x:v>claude-sonnet-5</x:v>
      </x:c>
      <x:c r="F29" s="28" t="n">
        <x:v>13614758</x:v>
      </x:c>
      <x:c r="G29" s="28" t="n">
        <x:v>52464</x:v>
      </x:c>
      <x:c r="H29" s="29" t="n">
        <x:f>'Pricing'!$D$13</x:f>
        <x:v>2</x:v>
      </x:c>
      <x:c r="I29" s="30" t="n">
        <x:f>IF($Y29="No public API price","",$G29/'Pricing'!$M$2*$H29)</x:f>
        <x:v>0.104928</x:v>
      </x:c>
      <x:c r="J29" s="28" t="n">
        <x:v>13166611</x:v>
      </x:c>
      <x:c r="K29" s="29" t="n">
        <x:f>'Pricing'!$E$13</x:f>
        <x:v>0.2</x:v>
      </x:c>
      <x:c r="L29" s="30" t="n">
        <x:f>IF($Y29="No public API price","",$J29/'Pricing'!$M$2*$K29)</x:f>
        <x:v>2.6333222000000003</x:v>
      </x:c>
      <x:c r="M29" s="28" t="n">
        <x:v>395683</x:v>
      </x:c>
      <x:c r="N29" s="29" t="n">
        <x:f>'Pricing'!$F$13</x:f>
        <x:v>2.5</x:v>
      </x:c>
      <x:c r="O29" s="30" t="n">
        <x:f>IF($Y29="No public API price","",$M29/'Pricing'!$M$2*$N29)</x:f>
        <x:v>0.9892075</x:v>
      </x:c>
      <x:c r="P29" s="28" t="n">
        <x:v>0</x:v>
      </x:c>
      <x:c r="Q29" s="29" t="n">
        <x:f>'Pricing'!$G$13</x:f>
        <x:v>4</x:v>
      </x:c>
      <x:c r="R29" s="30" t="n">
        <x:f>IF($Y29="No public API price","",$P29/'Pricing'!$M$2*$Q29)</x:f>
        <x:v>0</x:v>
      </x:c>
      <x:c r="S29" s="28" t="n">
        <x:v>88464</x:v>
      </x:c>
      <x:c r="T29" s="29" t="n">
        <x:f>'Pricing'!$H$13</x:f>
        <x:v>10</x:v>
      </x:c>
      <x:c r="U29" s="30" t="n">
        <x:f>IF($Y29="No public API price","",$S29/'Pricing'!$M$2*$T29)</x:f>
        <x:v>0.88464</x:v>
      </x:c>
      <x:c r="V29" s="28" t="n">
        <x:v>0</x:v>
      </x:c>
      <x:c r="W29" s="28" t="n">
        <x:v>13703222</x:v>
      </x:c>
      <x:c r="X29" s="30" t="n">
        <x:f>IF($Y29="No public API price","",SUM($I29,$L29,$O29,$R29,$U29))</x:f>
        <x:v>4.6120977000000005</x:v>
      </x:c>
      <x:c r="Y29" s="26" t="str">
        <x:f>'Pricing'!$C$13</x:f>
        <x:v>Published</x:v>
      </x:c>
    </x:row>
    <x:row r="30" ht="20" customHeight="1">
      <x:c r="A30" s="25" t="str">
        <x:v>2026-07-12</x:v>
      </x:c>
      <x:c r="B30" s="26" t="str">
        <x:v>July</x:v>
      </x:c>
      <x:c r="C30" s="27" t="n">
        <x:v>2026</x:v>
      </x:c>
      <x:c r="D30" s="26" t="str">
        <x:v>Anthropic</x:v>
      </x:c>
      <x:c r="E30" s="26" t="str">
        <x:v>claude-fable-5</x:v>
      </x:c>
      <x:c r="F30" s="28" t="n">
        <x:v>74727185</x:v>
      </x:c>
      <x:c r="G30" s="28" t="n">
        <x:v>3443</x:v>
      </x:c>
      <x:c r="H30" s="29" t="n">
        <x:f>'Pricing'!$D$10</x:f>
        <x:v>10</x:v>
      </x:c>
      <x:c r="I30" s="30" t="n">
        <x:f>IF($Y30="No public API price","",$G30/'Pricing'!$M$2*$H30)</x:f>
        <x:v>0.03443</x:v>
      </x:c>
      <x:c r="J30" s="28" t="n">
        <x:v>69650113</x:v>
      </x:c>
      <x:c r="K30" s="29" t="n">
        <x:f>'Pricing'!$E$10</x:f>
        <x:v>1</x:v>
      </x:c>
      <x:c r="L30" s="30" t="n">
        <x:f>IF($Y30="No public API price","",$J30/'Pricing'!$M$2*$K30)</x:f>
        <x:v>69.650113</x:v>
      </x:c>
      <x:c r="M30" s="28" t="n">
        <x:v>0</x:v>
      </x:c>
      <x:c r="N30" s="29" t="n">
        <x:f>'Pricing'!$F$10</x:f>
        <x:v>12.5</x:v>
      </x:c>
      <x:c r="O30" s="30" t="n">
        <x:f>IF($Y30="No public API price","",$M30/'Pricing'!$M$2*$N30)</x:f>
        <x:v>0</x:v>
      </x:c>
      <x:c r="P30" s="28" t="n">
        <x:v>5073629</x:v>
      </x:c>
      <x:c r="Q30" s="29" t="n">
        <x:f>'Pricing'!$G$10</x:f>
        <x:v>20</x:v>
      </x:c>
      <x:c r="R30" s="30" t="n">
        <x:f>IF($Y30="No public API price","",$P30/'Pricing'!$M$2*$Q30)</x:f>
        <x:v>101.47258000000001</x:v>
      </x:c>
      <x:c r="S30" s="28" t="n">
        <x:v>122148</x:v>
      </x:c>
      <x:c r="T30" s="29" t="n">
        <x:f>'Pricing'!$H$10</x:f>
        <x:v>50</x:v>
      </x:c>
      <x:c r="U30" s="30" t="n">
        <x:f>IF($Y30="No public API price","",$S30/'Pricing'!$M$2*$T30)</x:f>
        <x:v>6.1074</x:v>
      </x:c>
      <x:c r="V30" s="28" t="n">
        <x:v>0</x:v>
      </x:c>
      <x:c r="W30" s="28" t="n">
        <x:v>74849333</x:v>
      </x:c>
      <x:c r="X30" s="30" t="n">
        <x:f>IF($Y30="No public API price","",SUM($I30,$L30,$O30,$R30,$U30))</x:f>
        <x:v>177.26452300000003</x:v>
      </x:c>
      <x:c r="Y30" s="26" t="str">
        <x:f>'Pricing'!$C$10</x:f>
        <x:v>Published</x:v>
      </x:c>
    </x:row>
    <x:row r="31" ht="20" customHeight="1">
      <x:c r="A31" s="25" t="str">
        <x:v>2026-07-12</x:v>
      </x:c>
      <x:c r="B31" s="26" t="str">
        <x:v>July</x:v>
      </x:c>
      <x:c r="C31" s="27" t="n">
        <x:v>2026</x:v>
      </x:c>
      <x:c r="D31" s="26" t="str">
        <x:v>Anthropic</x:v>
      </x:c>
      <x:c r="E31" s="26" t="str">
        <x:v>claude-opus-4-8</x:v>
      </x:c>
      <x:c r="F31" s="28" t="n">
        <x:v>11269700</x:v>
      </x:c>
      <x:c r="G31" s="28" t="n">
        <x:v>120692</x:v>
      </x:c>
      <x:c r="H31" s="29" t="n">
        <x:f>'Pricing'!$D$12</x:f>
        <x:v>5</x:v>
      </x:c>
      <x:c r="I31" s="30" t="n">
        <x:f>IF($Y31="No public API price","",$G31/'Pricing'!$M$2*$H31)</x:f>
        <x:v>0.60346</x:v>
      </x:c>
      <x:c r="J31" s="28" t="n">
        <x:v>9059030</x:v>
      </x:c>
      <x:c r="K31" s="29" t="n">
        <x:f>'Pricing'!$E$12</x:f>
        <x:v>0.5</x:v>
      </x:c>
      <x:c r="L31" s="30" t="n">
        <x:f>IF($Y31="No public API price","",$J31/'Pricing'!$M$2*$K31)</x:f>
        <x:v>4.529515</x:v>
      </x:c>
      <x:c r="M31" s="28" t="n">
        <x:v>1269390</x:v>
      </x:c>
      <x:c r="N31" s="29" t="n">
        <x:f>'Pricing'!$F$12</x:f>
        <x:v>6.25</x:v>
      </x:c>
      <x:c r="O31" s="30" t="n">
        <x:f>IF($Y31="No public API price","",$M31/'Pricing'!$M$2*$N31)</x:f>
        <x:v>7.9336875000000004</x:v>
      </x:c>
      <x:c r="P31" s="28" t="n">
        <x:v>820588</x:v>
      </x:c>
      <x:c r="Q31" s="29" t="n">
        <x:f>'Pricing'!$G$12</x:f>
        <x:v>10</x:v>
      </x:c>
      <x:c r="R31" s="30" t="n">
        <x:f>IF($Y31="No public API price","",$P31/'Pricing'!$M$2*$Q31)</x:f>
        <x:v>8.20588</x:v>
      </x:c>
      <x:c r="S31" s="28" t="n">
        <x:v>120219</x:v>
      </x:c>
      <x:c r="T31" s="29" t="n">
        <x:f>'Pricing'!$H$12</x:f>
        <x:v>25</x:v>
      </x:c>
      <x:c r="U31" s="30" t="n">
        <x:f>IF($Y31="No public API price","",$S31/'Pricing'!$M$2*$T31)</x:f>
        <x:v>3.005475</x:v>
      </x:c>
      <x:c r="V31" s="28" t="n">
        <x:v>0</x:v>
      </x:c>
      <x:c r="W31" s="28" t="n">
        <x:v>11389919</x:v>
      </x:c>
      <x:c r="X31" s="30" t="n">
        <x:f>IF($Y31="No public API price","",SUM($I31,$L31,$O31,$R31,$U31))</x:f>
        <x:v>24.2780175</x:v>
      </x:c>
      <x:c r="Y31" s="26" t="str">
        <x:f>'Pricing'!$C$12</x:f>
        <x:v>Published</x:v>
      </x:c>
    </x:row>
    <x:row r="32" ht="20" customHeight="1">
      <x:c r="A32" s="25" t="str">
        <x:v>2026-07-13</x:v>
      </x:c>
      <x:c r="B32" s="26" t="str">
        <x:v>July</x:v>
      </x:c>
      <x:c r="C32" s="27" t="n">
        <x:v>2026</x:v>
      </x:c>
      <x:c r="D32" s="26" t="str">
        <x:v>Anthropic</x:v>
      </x:c>
      <x:c r="E32" s="26" t="str">
        <x:v>claude-fable-5</x:v>
      </x:c>
      <x:c r="F32" s="28" t="n">
        <x:v>573688445</x:v>
      </x:c>
      <x:c r="G32" s="28" t="n">
        <x:v>76707</x:v>
      </x:c>
      <x:c r="H32" s="29" t="n">
        <x:f>'Pricing'!$D$10</x:f>
        <x:v>10</x:v>
      </x:c>
      <x:c r="I32" s="30" t="n">
        <x:f>IF($Y32="No public API price","",$G32/'Pricing'!$M$2*$H32)</x:f>
        <x:v>0.7670699999999999</x:v>
      </x:c>
      <x:c r="J32" s="28" t="n">
        <x:v>560434329</x:v>
      </x:c>
      <x:c r="K32" s="29" t="n">
        <x:f>'Pricing'!$E$10</x:f>
        <x:v>1</x:v>
      </x:c>
      <x:c r="L32" s="30" t="n">
        <x:f>IF($Y32="No public API price","",$J32/'Pricing'!$M$2*$K32)</x:f>
        <x:v>560.434329</x:v>
      </x:c>
      <x:c r="M32" s="28" t="n">
        <x:v>0</x:v>
      </x:c>
      <x:c r="N32" s="29" t="n">
        <x:f>'Pricing'!$F$10</x:f>
        <x:v>12.5</x:v>
      </x:c>
      <x:c r="O32" s="30" t="n">
        <x:f>IF($Y32="No public API price","",$M32/'Pricing'!$M$2*$N32)</x:f>
        <x:v>0</x:v>
      </x:c>
      <x:c r="P32" s="28" t="n">
        <x:v>13177409</x:v>
      </x:c>
      <x:c r="Q32" s="29" t="n">
        <x:f>'Pricing'!$G$10</x:f>
        <x:v>20</x:v>
      </x:c>
      <x:c r="R32" s="30" t="n">
        <x:f>IF($Y32="No public API price","",$P32/'Pricing'!$M$2*$Q32)</x:f>
        <x:v>263.54818</x:v>
      </x:c>
      <x:c r="S32" s="28" t="n">
        <x:v>780641</x:v>
      </x:c>
      <x:c r="T32" s="29" t="n">
        <x:f>'Pricing'!$H$10</x:f>
        <x:v>50</x:v>
      </x:c>
      <x:c r="U32" s="30" t="n">
        <x:f>IF($Y32="No public API price","",$S32/'Pricing'!$M$2*$T32)</x:f>
        <x:v>39.03205</x:v>
      </x:c>
      <x:c r="V32" s="28" t="n">
        <x:v>0</x:v>
      </x:c>
      <x:c r="W32" s="28" t="n">
        <x:v>574469086</x:v>
      </x:c>
      <x:c r="X32" s="30" t="n">
        <x:f>IF($Y32="No public API price","",SUM($I32,$L32,$O32,$R32,$U32))</x:f>
        <x:v>863.7816290000001</x:v>
      </x:c>
      <x:c r="Y32" s="26" t="str">
        <x:f>'Pricing'!$C$10</x:f>
        <x:v>Published</x:v>
      </x:c>
    </x:row>
    <x:row r="33" ht="20" customHeight="1">
      <x:c r="A33" s="25" t="str">
        <x:v>2026-07-13</x:v>
      </x:c>
      <x:c r="B33" s="26" t="str">
        <x:v>July</x:v>
      </x:c>
      <x:c r="C33" s="27" t="n">
        <x:v>2026</x:v>
      </x:c>
      <x:c r="D33" s="26" t="str">
        <x:v>Anthropic</x:v>
      </x:c>
      <x:c r="E33" s="26" t="str">
        <x:v>claude-opus-4-8</x:v>
      </x:c>
      <x:c r="F33" s="28" t="n">
        <x:v>69091189</x:v>
      </x:c>
      <x:c r="G33" s="28" t="n">
        <x:v>429877</x:v>
      </x:c>
      <x:c r="H33" s="29" t="n">
        <x:f>'Pricing'!$D$12</x:f>
        <x:v>5</x:v>
      </x:c>
      <x:c r="I33" s="30" t="n">
        <x:f>IF($Y33="No public API price","",$G33/'Pricing'!$M$2*$H33)</x:f>
        <x:v>2.149385</x:v>
      </x:c>
      <x:c r="J33" s="28" t="n">
        <x:v>60830283</x:v>
      </x:c>
      <x:c r="K33" s="29" t="n">
        <x:f>'Pricing'!$E$12</x:f>
        <x:v>0.5</x:v>
      </x:c>
      <x:c r="L33" s="30" t="n">
        <x:f>IF($Y33="No public API price","",$J33/'Pricing'!$M$2*$K33)</x:f>
        <x:v>30.4151415</x:v>
      </x:c>
      <x:c r="M33" s="28" t="n">
        <x:v>7116519</x:v>
      </x:c>
      <x:c r="N33" s="29" t="n">
        <x:f>'Pricing'!$F$12</x:f>
        <x:v>6.25</x:v>
      </x:c>
      <x:c r="O33" s="30" t="n">
        <x:f>IF($Y33="No public API price","",$M33/'Pricing'!$M$2*$N33)</x:f>
        <x:v>44.478243750000004</x:v>
      </x:c>
      <x:c r="P33" s="28" t="n">
        <x:v>714510</x:v>
      </x:c>
      <x:c r="Q33" s="29" t="n">
        <x:f>'Pricing'!$G$12</x:f>
        <x:v>10</x:v>
      </x:c>
      <x:c r="R33" s="30" t="n">
        <x:f>IF($Y33="No public API price","",$P33/'Pricing'!$M$2*$Q33)</x:f>
        <x:v>7.145099999999999</x:v>
      </x:c>
      <x:c r="S33" s="28" t="n">
        <x:v>678816</x:v>
      </x:c>
      <x:c r="T33" s="29" t="n">
        <x:f>'Pricing'!$H$12</x:f>
        <x:v>25</x:v>
      </x:c>
      <x:c r="U33" s="30" t="n">
        <x:f>IF($Y33="No public API price","",$S33/'Pricing'!$M$2*$T33)</x:f>
        <x:v>16.970399999999998</x:v>
      </x:c>
      <x:c r="V33" s="28" t="n">
        <x:v>0</x:v>
      </x:c>
      <x:c r="W33" s="28" t="n">
        <x:v>69770005</x:v>
      </x:c>
      <x:c r="X33" s="30" t="n">
        <x:f>IF($Y33="No public API price","",SUM($I33,$L33,$O33,$R33,$U33))</x:f>
        <x:v>101.15827025</x:v>
      </x:c>
      <x:c r="Y33" s="26" t="str">
        <x:f>'Pricing'!$C$12</x:f>
        <x:v>Published</x:v>
      </x:c>
    </x:row>
    <x:row r="34" ht="20" customHeight="1">
      <x:c r="A34" s="25" t="str">
        <x:v>2026-07-14</x:v>
      </x:c>
      <x:c r="B34" s="26" t="str">
        <x:v>July</x:v>
      </x:c>
      <x:c r="C34" s="27" t="n">
        <x:v>2026</x:v>
      </x:c>
      <x:c r="D34" s="26" t="str">
        <x:v>Anthropic</x:v>
      </x:c>
      <x:c r="E34" s="26" t="str">
        <x:v>claude-fable-5</x:v>
      </x:c>
      <x:c r="F34" s="28" t="n">
        <x:v>118977360</x:v>
      </x:c>
      <x:c r="G34" s="28" t="n">
        <x:v>892</x:v>
      </x:c>
      <x:c r="H34" s="29" t="n">
        <x:f>'Pricing'!$D$10</x:f>
        <x:v>10</x:v>
      </x:c>
      <x:c r="I34" s="30" t="n">
        <x:f>IF($Y34="No public API price","",$G34/'Pricing'!$M$2*$H34)</x:f>
        <x:v>0.00892</x:v>
      </x:c>
      <x:c r="J34" s="28" t="n">
        <x:v>115302679</x:v>
      </x:c>
      <x:c r="K34" s="29" t="n">
        <x:f>'Pricing'!$E$10</x:f>
        <x:v>1</x:v>
      </x:c>
      <x:c r="L34" s="30" t="n">
        <x:f>IF($Y34="No public API price","",$J34/'Pricing'!$M$2*$K34)</x:f>
        <x:v>115.302679</x:v>
      </x:c>
      <x:c r="M34" s="28" t="n">
        <x:v>0</x:v>
      </x:c>
      <x:c r="N34" s="29" t="n">
        <x:f>'Pricing'!$F$10</x:f>
        <x:v>12.5</x:v>
      </x:c>
      <x:c r="O34" s="30" t="n">
        <x:f>IF($Y34="No public API price","",$M34/'Pricing'!$M$2*$N34)</x:f>
        <x:v>0</x:v>
      </x:c>
      <x:c r="P34" s="28" t="n">
        <x:v>3673789</x:v>
      </x:c>
      <x:c r="Q34" s="29" t="n">
        <x:f>'Pricing'!$G$10</x:f>
        <x:v>20</x:v>
      </x:c>
      <x:c r="R34" s="30" t="n">
        <x:f>IF($Y34="No public API price","",$P34/'Pricing'!$M$2*$Q34)</x:f>
        <x:v>73.47578</x:v>
      </x:c>
      <x:c r="S34" s="28" t="n">
        <x:v>518943</x:v>
      </x:c>
      <x:c r="T34" s="29" t="n">
        <x:f>'Pricing'!$H$10</x:f>
        <x:v>50</x:v>
      </x:c>
      <x:c r="U34" s="30" t="n">
        <x:f>IF($Y34="No public API price","",$S34/'Pricing'!$M$2*$T34)</x:f>
        <x:v>25.94715</x:v>
      </x:c>
      <x:c r="V34" s="28" t="n">
        <x:v>0</x:v>
      </x:c>
      <x:c r="W34" s="28" t="n">
        <x:v>119496303</x:v>
      </x:c>
      <x:c r="X34" s="30" t="n">
        <x:f>IF($Y34="No public API price","",SUM($I34,$L34,$O34,$R34,$U34))</x:f>
        <x:v>214.73452899999998</x:v>
      </x:c>
      <x:c r="Y34" s="26" t="str">
        <x:f>'Pricing'!$C$10</x:f>
        <x:v>Published</x:v>
      </x:c>
    </x:row>
    <x:row r="35" ht="20" customHeight="1">
      <x:c r="A35" s="25" t="str">
        <x:v>2026-07-14</x:v>
      </x:c>
      <x:c r="B35" s="26" t="str">
        <x:v>July</x:v>
      </x:c>
      <x:c r="C35" s="27" t="n">
        <x:v>2026</x:v>
      </x:c>
      <x:c r="D35" s="26" t="str">
        <x:v>Anthropic</x:v>
      </x:c>
      <x:c r="E35" s="26" t="str">
        <x:v>claude-opus-4-8</x:v>
      </x:c>
      <x:c r="F35" s="28" t="n">
        <x:v>33648281</x:v>
      </x:c>
      <x:c r="G35" s="28" t="n">
        <x:v>26243</x:v>
      </x:c>
      <x:c r="H35" s="29" t="n">
        <x:f>'Pricing'!$D$12</x:f>
        <x:v>5</x:v>
      </x:c>
      <x:c r="I35" s="30" t="n">
        <x:f>IF($Y35="No public API price","",$G35/'Pricing'!$M$2*$H35)</x:f>
        <x:v>0.131215</x:v>
      </x:c>
      <x:c r="J35" s="28" t="n">
        <x:v>29882509</x:v>
      </x:c>
      <x:c r="K35" s="29" t="n">
        <x:f>'Pricing'!$E$12</x:f>
        <x:v>0.5</x:v>
      </x:c>
      <x:c r="L35" s="30" t="n">
        <x:f>IF($Y35="No public API price","",$J35/'Pricing'!$M$2*$K35)</x:f>
        <x:v>14.9412545</x:v>
      </x:c>
      <x:c r="M35" s="28" t="n">
        <x:v>3739529</x:v>
      </x:c>
      <x:c r="N35" s="29" t="n">
        <x:f>'Pricing'!$F$12</x:f>
        <x:v>6.25</x:v>
      </x:c>
      <x:c r="O35" s="30" t="n">
        <x:f>IF($Y35="No public API price","",$M35/'Pricing'!$M$2*$N35)</x:f>
        <x:v>23.37205625</x:v>
      </x:c>
      <x:c r="P35" s="28" t="n">
        <x:v>0</x:v>
      </x:c>
      <x:c r="Q35" s="29" t="n">
        <x:f>'Pricing'!$G$12</x:f>
        <x:v>10</x:v>
      </x:c>
      <x:c r="R35" s="30" t="n">
        <x:f>IF($Y35="No public API price","",$P35/'Pricing'!$M$2*$Q35)</x:f>
        <x:v>0</x:v>
      </x:c>
      <x:c r="S35" s="28" t="n">
        <x:v>453781</x:v>
      </x:c>
      <x:c r="T35" s="29" t="n">
        <x:f>'Pricing'!$H$12</x:f>
        <x:v>25</x:v>
      </x:c>
      <x:c r="U35" s="30" t="n">
        <x:f>IF($Y35="No public API price","",$S35/'Pricing'!$M$2*$T35)</x:f>
        <x:v>11.344524999999999</x:v>
      </x:c>
      <x:c r="V35" s="28" t="n">
        <x:v>0</x:v>
      </x:c>
      <x:c r="W35" s="28" t="n">
        <x:v>34102062</x:v>
      </x:c>
      <x:c r="X35" s="30" t="n">
        <x:f>IF($Y35="No public API price","",SUM($I35,$L35,$O35,$R35,$U35))</x:f>
        <x:v>49.789050749999994</x:v>
      </x:c>
      <x:c r="Y35" s="26" t="str">
        <x:f>'Pricing'!$C$12</x:f>
        <x:v>Published</x:v>
      </x:c>
    </x:row>
    <x:row r="36" ht="20" customHeight="1">
      <x:c r="A36" s="25" t="str">
        <x:v>2026-07-15</x:v>
      </x:c>
      <x:c r="B36" s="26" t="str">
        <x:v>July</x:v>
      </x:c>
      <x:c r="C36" s="27" t="n">
        <x:v>2026</x:v>
      </x:c>
      <x:c r="D36" s="26" t="str">
        <x:v>Anthropic</x:v>
      </x:c>
      <x:c r="E36" s="26" t="str">
        <x:v>claude-fable-5</x:v>
      </x:c>
      <x:c r="F36" s="28" t="n">
        <x:v>161185794</x:v>
      </x:c>
      <x:c r="G36" s="28" t="n">
        <x:v>6112</x:v>
      </x:c>
      <x:c r="H36" s="29" t="n">
        <x:f>'Pricing'!$D$10</x:f>
        <x:v>10</x:v>
      </x:c>
      <x:c r="I36" s="30" t="n">
        <x:f>IF($Y36="No public API price","",$G36/'Pricing'!$M$2*$H36)</x:f>
        <x:v>0.06112</x:v>
      </x:c>
      <x:c r="J36" s="28" t="n">
        <x:v>153570593</x:v>
      </x:c>
      <x:c r="K36" s="29" t="n">
        <x:f>'Pricing'!$E$10</x:f>
        <x:v>1</x:v>
      </x:c>
      <x:c r="L36" s="30" t="n">
        <x:f>IF($Y36="No public API price","",$J36/'Pricing'!$M$2*$K36)</x:f>
        <x:v>153.570593</x:v>
      </x:c>
      <x:c r="M36" s="28" t="n">
        <x:v>0</x:v>
      </x:c>
      <x:c r="N36" s="29" t="n">
        <x:f>'Pricing'!$F$10</x:f>
        <x:v>12.5</x:v>
      </x:c>
      <x:c r="O36" s="30" t="n">
        <x:f>IF($Y36="No public API price","",$M36/'Pricing'!$M$2*$N36)</x:f>
        <x:v>0</x:v>
      </x:c>
      <x:c r="P36" s="28" t="n">
        <x:v>7609089</x:v>
      </x:c>
      <x:c r="Q36" s="29" t="n">
        <x:f>'Pricing'!$G$10</x:f>
        <x:v>20</x:v>
      </x:c>
      <x:c r="R36" s="30" t="n">
        <x:f>IF($Y36="No public API price","",$P36/'Pricing'!$M$2*$Q36)</x:f>
        <x:v>152.18178</x:v>
      </x:c>
      <x:c r="S36" s="28" t="n">
        <x:v>492727</x:v>
      </x:c>
      <x:c r="T36" s="29" t="n">
        <x:f>'Pricing'!$H$10</x:f>
        <x:v>50</x:v>
      </x:c>
      <x:c r="U36" s="30" t="n">
        <x:f>IF($Y36="No public API price","",$S36/'Pricing'!$M$2*$T36)</x:f>
        <x:v>24.63635</x:v>
      </x:c>
      <x:c r="V36" s="28" t="n">
        <x:v>0</x:v>
      </x:c>
      <x:c r="W36" s="28" t="n">
        <x:v>161678521</x:v>
      </x:c>
      <x:c r="X36" s="30" t="n">
        <x:f>IF($Y36="No public API price","",SUM($I36,$L36,$O36,$R36,$U36))</x:f>
        <x:v>330.449843</x:v>
      </x:c>
      <x:c r="Y36" s="26" t="str">
        <x:f>'Pricing'!$C$10</x:f>
        <x:v>Published</x:v>
      </x:c>
    </x:row>
    <x:row r="37" ht="20" customHeight="1">
      <x:c r="A37" s="25" t="str">
        <x:v>2026-07-15</x:v>
      </x:c>
      <x:c r="B37" s="26" t="str">
        <x:v>July</x:v>
      </x:c>
      <x:c r="C37" s="27" t="n">
        <x:v>2026</x:v>
      </x:c>
      <x:c r="D37" s="26" t="str">
        <x:v>Anthropic</x:v>
      </x:c>
      <x:c r="E37" s="26" t="str">
        <x:v>claude-opus-4-8</x:v>
      </x:c>
      <x:c r="F37" s="28" t="n">
        <x:v>6640606</x:v>
      </x:c>
      <x:c r="G37" s="28" t="n">
        <x:v>188</x:v>
      </x:c>
      <x:c r="H37" s="29" t="n">
        <x:f>'Pricing'!$D$12</x:f>
        <x:v>5</x:v>
      </x:c>
      <x:c r="I37" s="30" t="n">
        <x:f>IF($Y37="No public API price","",$G37/'Pricing'!$M$2*$H37)</x:f>
        <x:v>0.00094</x:v>
      </x:c>
      <x:c r="J37" s="28" t="n">
        <x:v>5992448</x:v>
      </x:c>
      <x:c r="K37" s="29" t="n">
        <x:f>'Pricing'!$E$12</x:f>
        <x:v>0.5</x:v>
      </x:c>
      <x:c r="L37" s="30" t="n">
        <x:f>IF($Y37="No public API price","",$J37/'Pricing'!$M$2*$K37)</x:f>
        <x:v>2.996224</x:v>
      </x:c>
      <x:c r="M37" s="28" t="n">
        <x:v>647970</x:v>
      </x:c>
      <x:c r="N37" s="29" t="n">
        <x:f>'Pricing'!$F$12</x:f>
        <x:v>6.25</x:v>
      </x:c>
      <x:c r="O37" s="30" t="n">
        <x:f>IF($Y37="No public API price","",$M37/'Pricing'!$M$2*$N37)</x:f>
        <x:v>4.049812500000001</x:v>
      </x:c>
      <x:c r="P37" s="28" t="n">
        <x:v>0</x:v>
      </x:c>
      <x:c r="Q37" s="29" t="n">
        <x:f>'Pricing'!$G$12</x:f>
        <x:v>10</x:v>
      </x:c>
      <x:c r="R37" s="30" t="n">
        <x:f>IF($Y37="No public API price","",$P37/'Pricing'!$M$2*$Q37)</x:f>
        <x:v>0</x:v>
      </x:c>
      <x:c r="S37" s="28" t="n">
        <x:v>80483</x:v>
      </x:c>
      <x:c r="T37" s="29" t="n">
        <x:f>'Pricing'!$H$12</x:f>
        <x:v>25</x:v>
      </x:c>
      <x:c r="U37" s="30" t="n">
        <x:f>IF($Y37="No public API price","",$S37/'Pricing'!$M$2*$T37)</x:f>
        <x:v>2.012075</x:v>
      </x:c>
      <x:c r="V37" s="28" t="n">
        <x:v>0</x:v>
      </x:c>
      <x:c r="W37" s="28" t="n">
        <x:v>6721089</x:v>
      </x:c>
      <x:c r="X37" s="30" t="n">
        <x:f>IF($Y37="No public API price","",SUM($I37,$L37,$O37,$R37,$U37))</x:f>
        <x:v>9.0590515</x:v>
      </x:c>
      <x:c r="Y37" s="26" t="str">
        <x:f>'Pricing'!$C$12</x:f>
        <x:v>Published</x:v>
      </x:c>
    </x:row>
    <x:row r="38" ht="20" customHeight="1">
      <x:c r="A38" s="25" t="str">
        <x:v>2026-07-16</x:v>
      </x:c>
      <x:c r="B38" s="26" t="str">
        <x:v>July</x:v>
      </x:c>
      <x:c r="C38" s="27" t="n">
        <x:v>2026</x:v>
      </x:c>
      <x:c r="D38" s="26" t="str">
        <x:v>Anthropic</x:v>
      </x:c>
      <x:c r="E38" s="26" t="str">
        <x:v>claude-fable-5</x:v>
      </x:c>
      <x:c r="F38" s="28" t="n">
        <x:v>623965460</x:v>
      </x:c>
      <x:c r="G38" s="28" t="n">
        <x:v>3843</x:v>
      </x:c>
      <x:c r="H38" s="29" t="n">
        <x:f>'Pricing'!$D$10</x:f>
        <x:v>10</x:v>
      </x:c>
      <x:c r="I38" s="30" t="n">
        <x:f>IF($Y38="No public API price","",$G38/'Pricing'!$M$2*$H38)</x:f>
        <x:v>0.03843</x:v>
      </x:c>
      <x:c r="J38" s="28" t="n">
        <x:v>606965271</x:v>
      </x:c>
      <x:c r="K38" s="29" t="n">
        <x:f>'Pricing'!$E$10</x:f>
        <x:v>1</x:v>
      </x:c>
      <x:c r="L38" s="30" t="n">
        <x:f>IF($Y38="No public API price","",$J38/'Pricing'!$M$2*$K38)</x:f>
        <x:v>606.965271</x:v>
      </x:c>
      <x:c r="M38" s="28" t="n">
        <x:v>2780484</x:v>
      </x:c>
      <x:c r="N38" s="29" t="n">
        <x:f>'Pricing'!$F$10</x:f>
        <x:v>12.5</x:v>
      </x:c>
      <x:c r="O38" s="30" t="n">
        <x:f>IF($Y38="No public API price","",$M38/'Pricing'!$M$2*$N38)</x:f>
        <x:v>34.75605</x:v>
      </x:c>
      <x:c r="P38" s="28" t="n">
        <x:v>14215862</x:v>
      </x:c>
      <x:c r="Q38" s="29" t="n">
        <x:f>'Pricing'!$G$10</x:f>
        <x:v>20</x:v>
      </x:c>
      <x:c r="R38" s="30" t="n">
        <x:f>IF($Y38="No public API price","",$P38/'Pricing'!$M$2*$Q38)</x:f>
        <x:v>284.31723999999997</x:v>
      </x:c>
      <x:c r="S38" s="28" t="n">
        <x:v>1428153</x:v>
      </x:c>
      <x:c r="T38" s="29" t="n">
        <x:f>'Pricing'!$H$10</x:f>
        <x:v>50</x:v>
      </x:c>
      <x:c r="U38" s="30" t="n">
        <x:f>IF($Y38="No public API price","",$S38/'Pricing'!$M$2*$T38)</x:f>
        <x:v>71.40765</x:v>
      </x:c>
      <x:c r="V38" s="28" t="n">
        <x:v>0</x:v>
      </x:c>
      <x:c r="W38" s="28" t="n">
        <x:v>625393613</x:v>
      </x:c>
      <x:c r="X38" s="30" t="n">
        <x:f>IF($Y38="No public API price","",SUM($I38,$L38,$O38,$R38,$U38))</x:f>
        <x:v>997.4846409999999</x:v>
      </x:c>
      <x:c r="Y38" s="26" t="str">
        <x:f>'Pricing'!$C$10</x:f>
        <x:v>Published</x:v>
      </x:c>
    </x:row>
    <x:row r="39" ht="20" customHeight="1">
      <x:c r="A39" s="25" t="str">
        <x:v>2026-07-16</x:v>
      </x:c>
      <x:c r="B39" s="26" t="str">
        <x:v>July</x:v>
      </x:c>
      <x:c r="C39" s="27" t="n">
        <x:v>2026</x:v>
      </x:c>
      <x:c r="D39" s="26" t="str">
        <x:v>Anthropic</x:v>
      </x:c>
      <x:c r="E39" s="26" t="str">
        <x:v>claude-sonnet-5</x:v>
      </x:c>
      <x:c r="F39" s="28" t="n">
        <x:v>316536</x:v>
      </x:c>
      <x:c r="G39" s="28" t="n">
        <x:v>12</x:v>
      </x:c>
      <x:c r="H39" s="29" t="n">
        <x:f>'Pricing'!$D$13</x:f>
        <x:v>2</x:v>
      </x:c>
      <x:c r="I39" s="30" t="n">
        <x:f>IF($Y39="No public API price","",$G39/'Pricing'!$M$2*$H39)</x:f>
        <x:v>0.000024</x:v>
      </x:c>
      <x:c r="J39" s="28" t="n">
        <x:v>186592</x:v>
      </x:c>
      <x:c r="K39" s="29" t="n">
        <x:f>'Pricing'!$E$13</x:f>
        <x:v>0.2</x:v>
      </x:c>
      <x:c r="L39" s="30" t="n">
        <x:f>IF($Y39="No public API price","",$J39/'Pricing'!$M$2*$K39)</x:f>
        <x:v>0.0373184</x:v>
      </x:c>
      <x:c r="M39" s="28" t="n">
        <x:v>0</x:v>
      </x:c>
      <x:c r="N39" s="29" t="n">
        <x:f>'Pricing'!$F$13</x:f>
        <x:v>2.5</x:v>
      </x:c>
      <x:c r="O39" s="30" t="n">
        <x:f>IF($Y39="No public API price","",$M39/'Pricing'!$M$2*$N39)</x:f>
        <x:v>0</x:v>
      </x:c>
      <x:c r="P39" s="28" t="n">
        <x:v>129932</x:v>
      </x:c>
      <x:c r="Q39" s="29" t="n">
        <x:f>'Pricing'!$G$13</x:f>
        <x:v>4</x:v>
      </x:c>
      <x:c r="R39" s="30" t="n">
        <x:f>IF($Y39="No public API price","",$P39/'Pricing'!$M$2*$Q39)</x:f>
        <x:v>0.519728</x:v>
      </x:c>
      <x:c r="S39" s="28" t="n">
        <x:v>22105</x:v>
      </x:c>
      <x:c r="T39" s="29" t="n">
        <x:f>'Pricing'!$H$13</x:f>
        <x:v>10</x:v>
      </x:c>
      <x:c r="U39" s="30" t="n">
        <x:f>IF($Y39="No public API price","",$S39/'Pricing'!$M$2*$T39)</x:f>
        <x:v>0.22105</x:v>
      </x:c>
      <x:c r="V39" s="28" t="n">
        <x:v>0</x:v>
      </x:c>
      <x:c r="W39" s="28" t="n">
        <x:v>338641</x:v>
      </x:c>
      <x:c r="X39" s="30" t="n">
        <x:f>IF($Y39="No public API price","",SUM($I39,$L39,$O39,$R39,$U39))</x:f>
        <x:v>0.7781203999999999</x:v>
      </x:c>
      <x:c r="Y39" s="26" t="str">
        <x:f>'Pricing'!$C$13</x:f>
        <x:v>Published</x:v>
      </x:c>
    </x:row>
    <x:row r="40" ht="20" customHeight="1">
      <x:c r="A40" s="25" t="str">
        <x:v>2026-07-17</x:v>
      </x:c>
      <x:c r="B40" s="26" t="str">
        <x:v>July</x:v>
      </x:c>
      <x:c r="C40" s="27" t="n">
        <x:v>2026</x:v>
      </x:c>
      <x:c r="D40" s="26" t="str">
        <x:v>Anthropic</x:v>
      </x:c>
      <x:c r="E40" s="26" t="str">
        <x:v>claude-fable-5</x:v>
      </x:c>
      <x:c r="F40" s="28" t="n">
        <x:v>326265021</x:v>
      </x:c>
      <x:c r="G40" s="28" t="n">
        <x:v>3207</x:v>
      </x:c>
      <x:c r="H40" s="29" t="n">
        <x:f>'Pricing'!$D$10</x:f>
        <x:v>10</x:v>
      </x:c>
      <x:c r="I40" s="30" t="n">
        <x:f>IF($Y40="No public API price","",$G40/'Pricing'!$M$2*$H40)</x:f>
        <x:v>0.03207</x:v>
      </x:c>
      <x:c r="J40" s="28" t="n">
        <x:v>316372315</x:v>
      </x:c>
      <x:c r="K40" s="29" t="n">
        <x:f>'Pricing'!$E$10</x:f>
        <x:v>1</x:v>
      </x:c>
      <x:c r="L40" s="30" t="n">
        <x:f>IF($Y40="No public API price","",$J40/'Pricing'!$M$2*$K40)</x:f>
        <x:v>316.372315</x:v>
      </x:c>
      <x:c r="M40" s="28" t="n">
        <x:v>0</x:v>
      </x:c>
      <x:c r="N40" s="29" t="n">
        <x:f>'Pricing'!$F$10</x:f>
        <x:v>12.5</x:v>
      </x:c>
      <x:c r="O40" s="30" t="n">
        <x:f>IF($Y40="No public API price","",$M40/'Pricing'!$M$2*$N40)</x:f>
        <x:v>0</x:v>
      </x:c>
      <x:c r="P40" s="28" t="n">
        <x:v>9889499</x:v>
      </x:c>
      <x:c r="Q40" s="29" t="n">
        <x:f>'Pricing'!$G$10</x:f>
        <x:v>20</x:v>
      </x:c>
      <x:c r="R40" s="30" t="n">
        <x:f>IF($Y40="No public API price","",$P40/'Pricing'!$M$2*$Q40)</x:f>
        <x:v>197.78998</x:v>
      </x:c>
      <x:c r="S40" s="28" t="n">
        <x:v>856168</x:v>
      </x:c>
      <x:c r="T40" s="29" t="n">
        <x:f>'Pricing'!$H$10</x:f>
        <x:v>50</x:v>
      </x:c>
      <x:c r="U40" s="30" t="n">
        <x:f>IF($Y40="No public API price","",$S40/'Pricing'!$M$2*$T40)</x:f>
        <x:v>42.8084</x:v>
      </x:c>
      <x:c r="V40" s="28" t="n">
        <x:v>0</x:v>
      </x:c>
      <x:c r="W40" s="28" t="n">
        <x:v>327121189</x:v>
      </x:c>
      <x:c r="X40" s="30" t="n">
        <x:f>IF($Y40="No public API price","",SUM($I40,$L40,$O40,$R40,$U40))</x:f>
        <x:v>557.0027650000001</x:v>
      </x:c>
      <x:c r="Y40" s="26" t="str">
        <x:f>'Pricing'!$C$10</x:f>
        <x:v>Published</x:v>
      </x:c>
    </x:row>
    <x:row r="41" ht="20" customHeight="1">
      <x:c r="A41" s="25" t="str">
        <x:v>2026-07-17</x:v>
      </x:c>
      <x:c r="B41" s="26" t="str">
        <x:v>July</x:v>
      </x:c>
      <x:c r="C41" s="27" t="n">
        <x:v>2026</x:v>
      </x:c>
      <x:c r="D41" s="26" t="str">
        <x:v>Anthropic</x:v>
      </x:c>
      <x:c r="E41" s="26" t="str">
        <x:v>claude-opus-4-8</x:v>
      </x:c>
      <x:c r="F41" s="28" t="n">
        <x:v>25091143</x:v>
      </x:c>
      <x:c r="G41" s="28" t="n">
        <x:v>18791</x:v>
      </x:c>
      <x:c r="H41" s="29" t="n">
        <x:f>'Pricing'!$D$12</x:f>
        <x:v>5</x:v>
      </x:c>
      <x:c r="I41" s="30" t="n">
        <x:f>IF($Y41="No public API price","",$G41/'Pricing'!$M$2*$H41)</x:f>
        <x:v>0.093955</x:v>
      </x:c>
      <x:c r="J41" s="28" t="n">
        <x:v>21679654</x:v>
      </x:c>
      <x:c r="K41" s="29" t="n">
        <x:f>'Pricing'!$E$12</x:f>
        <x:v>0.5</x:v>
      </x:c>
      <x:c r="L41" s="30" t="n">
        <x:f>IF($Y41="No public API price","",$J41/'Pricing'!$M$2*$K41)</x:f>
        <x:v>10.839827</x:v>
      </x:c>
      <x:c r="M41" s="28" t="n">
        <x:v>3392698</x:v>
      </x:c>
      <x:c r="N41" s="29" t="n">
        <x:f>'Pricing'!$F$12</x:f>
        <x:v>6.25</x:v>
      </x:c>
      <x:c r="O41" s="30" t="n">
        <x:f>IF($Y41="No public API price","",$M41/'Pricing'!$M$2*$N41)</x:f>
        <x:v>21.204362500000002</x:v>
      </x:c>
      <x:c r="P41" s="28" t="n">
        <x:v>0</x:v>
      </x:c>
      <x:c r="Q41" s="29" t="n">
        <x:f>'Pricing'!$G$12</x:f>
        <x:v>10</x:v>
      </x:c>
      <x:c r="R41" s="30" t="n">
        <x:f>IF($Y41="No public API price","",$P41/'Pricing'!$M$2*$Q41)</x:f>
        <x:v>0</x:v>
      </x:c>
      <x:c r="S41" s="28" t="n">
        <x:v>369388</x:v>
      </x:c>
      <x:c r="T41" s="29" t="n">
        <x:f>'Pricing'!$H$12</x:f>
        <x:v>25</x:v>
      </x:c>
      <x:c r="U41" s="30" t="n">
        <x:f>IF($Y41="No public API price","",$S41/'Pricing'!$M$2*$T41)</x:f>
        <x:v>9.2347</x:v>
      </x:c>
      <x:c r="V41" s="28" t="n">
        <x:v>0</x:v>
      </x:c>
      <x:c r="W41" s="28" t="n">
        <x:v>25460531</x:v>
      </x:c>
      <x:c r="X41" s="30" t="n">
        <x:f>IF($Y41="No public API price","",SUM($I41,$L41,$O41,$R41,$U41))</x:f>
        <x:v>41.3728445</x:v>
      </x:c>
      <x:c r="Y41" s="26" t="str">
        <x:f>'Pricing'!$C$12</x:f>
        <x:v>Published</x:v>
      </x:c>
    </x:row>
    <x:row r="42" ht="20" customHeight="1">
      <x:c r="A42" s="25" t="str">
        <x:v>2026-07-18</x:v>
      </x:c>
      <x:c r="B42" s="26" t="str">
        <x:v>July</x:v>
      </x:c>
      <x:c r="C42" s="27" t="n">
        <x:v>2026</x:v>
      </x:c>
      <x:c r="D42" s="26" t="str">
        <x:v>Anthropic</x:v>
      </x:c>
      <x:c r="E42" s="26" t="str">
        <x:v>claude-fable-5</x:v>
      </x:c>
      <x:c r="F42" s="28" t="n">
        <x:v>216187810</x:v>
      </x:c>
      <x:c r="G42" s="28" t="n">
        <x:v>975</x:v>
      </x:c>
      <x:c r="H42" s="29" t="n">
        <x:f>'Pricing'!$D$10</x:f>
        <x:v>10</x:v>
      </x:c>
      <x:c r="I42" s="30" t="n">
        <x:f>IF($Y42="No public API price","",$G42/'Pricing'!$M$2*$H42)</x:f>
        <x:v>0.00975</x:v>
      </x:c>
      <x:c r="J42" s="28" t="n">
        <x:v>208384258</x:v>
      </x:c>
      <x:c r="K42" s="29" t="n">
        <x:f>'Pricing'!$E$10</x:f>
        <x:v>1</x:v>
      </x:c>
      <x:c r="L42" s="30" t="n">
        <x:f>IF($Y42="No public API price","",$J42/'Pricing'!$M$2*$K42)</x:f>
        <x:v>208.384258</x:v>
      </x:c>
      <x:c r="M42" s="28" t="n">
        <x:v>0</x:v>
      </x:c>
      <x:c r="N42" s="29" t="n">
        <x:f>'Pricing'!$F$10</x:f>
        <x:v>12.5</x:v>
      </x:c>
      <x:c r="O42" s="30" t="n">
        <x:f>IF($Y42="No public API price","",$M42/'Pricing'!$M$2*$N42)</x:f>
        <x:v>0</x:v>
      </x:c>
      <x:c r="P42" s="28" t="n">
        <x:v>7802577</x:v>
      </x:c>
      <x:c r="Q42" s="29" t="n">
        <x:f>'Pricing'!$G$10</x:f>
        <x:v>20</x:v>
      </x:c>
      <x:c r="R42" s="30" t="n">
        <x:f>IF($Y42="No public API price","",$P42/'Pricing'!$M$2*$Q42)</x:f>
        <x:v>156.05154000000002</x:v>
      </x:c>
      <x:c r="S42" s="28" t="n">
        <x:v>381237</x:v>
      </x:c>
      <x:c r="T42" s="29" t="n">
        <x:f>'Pricing'!$H$10</x:f>
        <x:v>50</x:v>
      </x:c>
      <x:c r="U42" s="30" t="n">
        <x:f>IF($Y42="No public API price","",$S42/'Pricing'!$M$2*$T42)</x:f>
        <x:v>19.06185</x:v>
      </x:c>
      <x:c r="V42" s="28" t="n">
        <x:v>0</x:v>
      </x:c>
      <x:c r="W42" s="28" t="n">
        <x:v>216569047</x:v>
      </x:c>
      <x:c r="X42" s="30" t="n">
        <x:f>IF($Y42="No public API price","",SUM($I42,$L42,$O42,$R42,$U42))</x:f>
        <x:v>383.507398</x:v>
      </x:c>
      <x:c r="Y42" s="26" t="str">
        <x:f>'Pricing'!$C$10</x:f>
        <x:v>Published</x:v>
      </x:c>
    </x:row>
    <x:row r="43" ht="20" customHeight="1">
      <x:c r="A43" s="25" t="str">
        <x:v>2026-07-18</x:v>
      </x:c>
      <x:c r="B43" s="26" t="str">
        <x:v>July</x:v>
      </x:c>
      <x:c r="C43" s="27" t="n">
        <x:v>2026</x:v>
      </x:c>
      <x:c r="D43" s="26" t="str">
        <x:v>Anthropic</x:v>
      </x:c>
      <x:c r="E43" s="26" t="str">
        <x:v>claude-opus-4-8</x:v>
      </x:c>
      <x:c r="F43" s="28" t="n">
        <x:v>4937163</x:v>
      </x:c>
      <x:c r="G43" s="28" t="n">
        <x:v>148</x:v>
      </x:c>
      <x:c r="H43" s="29" t="n">
        <x:f>'Pricing'!$D$12</x:f>
        <x:v>5</x:v>
      </x:c>
      <x:c r="I43" s="30" t="n">
        <x:f>IF($Y43="No public API price","",$G43/'Pricing'!$M$2*$H43)</x:f>
        <x:v>0.00074</x:v>
      </x:c>
      <x:c r="J43" s="28" t="n">
        <x:v>4585930</x:v>
      </x:c>
      <x:c r="K43" s="29" t="n">
        <x:f>'Pricing'!$E$12</x:f>
        <x:v>0.5</x:v>
      </x:c>
      <x:c r="L43" s="30" t="n">
        <x:f>IF($Y43="No public API price","",$J43/'Pricing'!$M$2*$K43)</x:f>
        <x:v>2.292965</x:v>
      </x:c>
      <x:c r="M43" s="28" t="n">
        <x:v>351085</x:v>
      </x:c>
      <x:c r="N43" s="29" t="n">
        <x:f>'Pricing'!$F$12</x:f>
        <x:v>6.25</x:v>
      </x:c>
      <x:c r="O43" s="30" t="n">
        <x:f>IF($Y43="No public API price","",$M43/'Pricing'!$M$2*$N43)</x:f>
        <x:v>2.19428125</x:v>
      </x:c>
      <x:c r="P43" s="28" t="n">
        <x:v>0</x:v>
      </x:c>
      <x:c r="Q43" s="29" t="n">
        <x:f>'Pricing'!$G$12</x:f>
        <x:v>10</x:v>
      </x:c>
      <x:c r="R43" s="30" t="n">
        <x:f>IF($Y43="No public API price","",$P43/'Pricing'!$M$2*$Q43)</x:f>
        <x:v>0</x:v>
      </x:c>
      <x:c r="S43" s="28" t="n">
        <x:v>69857</x:v>
      </x:c>
      <x:c r="T43" s="29" t="n">
        <x:f>'Pricing'!$H$12</x:f>
        <x:v>25</x:v>
      </x:c>
      <x:c r="U43" s="30" t="n">
        <x:f>IF($Y43="No public API price","",$S43/'Pricing'!$M$2*$T43)</x:f>
        <x:v>1.7464250000000001</x:v>
      </x:c>
      <x:c r="V43" s="28" t="n">
        <x:v>0</x:v>
      </x:c>
      <x:c r="W43" s="28" t="n">
        <x:v>5007020</x:v>
      </x:c>
      <x:c r="X43" s="30" t="n">
        <x:f>IF($Y43="No public API price","",SUM($I43,$L43,$O43,$R43,$U43))</x:f>
        <x:v>6.234411250000001</x:v>
      </x:c>
      <x:c r="Y43" s="26" t="str">
        <x:f>'Pricing'!$C$12</x:f>
        <x:v>Published</x:v>
      </x:c>
    </x:row>
  </x:sheetData>
  <x:pageMargins left="0.7" right="0.7" top="0.75" bottom="0.75" header="0.3" footer="0.3"/>
  <x:tableParts count="1">
    <x:tablePart xmlns:r="http://schemas.openxmlformats.org/officeDocument/2006/relationships" r:id="R6d5a822eef4d43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18" hidden="0" customWidth="1"/>
    <x:col min="15" max="15" width="18" hidden="0" customWidth="1"/>
  </x:cols>
  <x:sheetData>
    <x:row r="1">
      <x:c r="A1" s="46" t="str">
        <x:v>Daily cost by model: trailing 30 days (2026-06-19 to 2026-07-18)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</x:row>
    <x:row r="3">
      <x:c r="A3" s="21" t="str">
        <x:v>date</x:v>
      </x:c>
      <x:c r="B3" s="21" t="str">
        <x:v>gpt-5.2</x:v>
      </x:c>
      <x:c r="C3" s="21" t="str">
        <x:v>gpt-5.2-codex</x:v>
      </x:c>
      <x:c r="D3" s="21" t="str">
        <x:v>gpt-5.3-codex</x:v>
      </x:c>
      <x:c r="E3" s="21" t="str">
        <x:v>gpt-5.3-codex-spark</x:v>
      </x:c>
      <x:c r="F3" s="21" t="str">
        <x:v>gpt-5.4</x:v>
      </x:c>
      <x:c r="G3" s="21" t="str">
        <x:v>gpt-5.5</x:v>
      </x:c>
      <x:c r="H3" s="21" t="str">
        <x:v>gpt-5.6-luna</x:v>
      </x:c>
      <x:c r="I3" s="21" t="str">
        <x:v>gpt-5.6-sol</x:v>
      </x:c>
      <x:c r="J3" s="21" t="str">
        <x:v>claude-fable-5</x:v>
      </x:c>
      <x:c r="K3" s="21" t="str">
        <x:v>claude-haiku-4-5-20251001</x:v>
      </x:c>
      <x:c r="L3" s="21" t="str">
        <x:v>claude-opus-4-8</x:v>
      </x:c>
      <x:c r="M3" s="21" t="str">
        <x:v>claude-sonnet-5</x:v>
      </x:c>
    </x:row>
    <x:row r="4">
      <x:c r="A4" t="str">
        <x:v>2026-06-19</x:v>
      </x:c>
      <x:c r="B4" s="24" t="n">
        <x:f>SUMIFS('Codex Costs'!$X$2:$X$134,'Codex Costs'!$A$2:$A$134,$A4,'Codex Costs'!$E$2:$E$134,B$3)</x:f>
        <x:v>0</x:v>
      </x:c>
      <x:c r="C4" s="24" t="n">
        <x:f>SUMIFS('Codex Costs'!$X$2:$X$134,'Codex Costs'!$A$2:$A$134,$A4,'Codex Costs'!$E$2:$E$134,C$3)</x:f>
        <x:v>0</x:v>
      </x:c>
      <x:c r="D4" s="24" t="n">
        <x:f>SUMIFS('Codex Costs'!$X$2:$X$134,'Codex Costs'!$A$2:$A$134,$A4,'Codex Costs'!$E$2:$E$134,D$3)</x:f>
        <x:v>0</x:v>
      </x:c>
      <x:c r="E4" s="24" t="n">
        <x:f>SUMIFS('Codex Costs'!$X$2:$X$134,'Codex Costs'!$A$2:$A$134,$A4,'Codex Costs'!$E$2:$E$134,E$3)</x:f>
        <x:v>0</x:v>
      </x:c>
      <x:c r="F4" s="24" t="n">
        <x:f>SUMIFS('Codex Costs'!$X$2:$X$134,'Codex Costs'!$A$2:$A$134,$A4,'Codex Costs'!$E$2:$E$134,F$3)</x:f>
        <x:v>0</x:v>
      </x:c>
      <x:c r="G4" s="24" t="n">
        <x:f>SUMIFS('Codex Costs'!$X$2:$X$134,'Codex Costs'!$A$2:$A$134,$A4,'Codex Costs'!$E$2:$E$134,G$3)</x:f>
        <x:v>351.979729</x:v>
      </x:c>
      <x:c r="H4" s="24" t="n">
        <x:f>SUMIFS('Codex Costs'!$X$2:$X$134,'Codex Costs'!$A$2:$A$134,$A4,'Codex Costs'!$E$2:$E$134,H$3)</x:f>
        <x:v>0</x:v>
      </x:c>
      <x:c r="I4" s="24" t="n">
        <x:f>SUMIFS('Codex Costs'!$X$2:$X$134,'Codex Costs'!$A$2:$A$134,$A4,'Codex Costs'!$E$2:$E$134,I$3)</x:f>
        <x:v>0</x:v>
      </x:c>
      <x:c r="J4" s="24" t="n">
        <x:f>SUMIFS('Claude Costs'!$X$2:$X$43,'Claude Costs'!$A$2:$A$43,$A4,'Claude Costs'!$E$2:$E$43,J$3)</x:f>
        <x:v>0</x:v>
      </x:c>
      <x:c r="K4" s="24" t="n">
        <x:f>SUMIFS('Claude Costs'!$X$2:$X$43,'Claude Costs'!$A$2:$A$43,$A4,'Claude Costs'!$E$2:$E$43,K$3)</x:f>
        <x:v>0</x:v>
      </x:c>
      <x:c r="L4" s="24" t="n">
        <x:f>SUMIFS('Claude Costs'!$X$2:$X$43,'Claude Costs'!$A$2:$A$43,$A4,'Claude Costs'!$E$2:$E$43,L$3)</x:f>
        <x:v>13.298946</x:v>
      </x:c>
      <x:c r="M4" s="24" t="n">
        <x:f>SUMIFS('Claude Costs'!$X$2:$X$43,'Claude Costs'!$A$2:$A$43,$A4,'Claude Costs'!$E$2:$E$43,M$3)</x:f>
        <x:v>0</x:v>
      </x:c>
    </x:row>
    <x:row r="5">
      <x:c r="A5" t="str">
        <x:v>2026-06-20</x:v>
      </x:c>
      <x:c r="B5" s="24" t="n">
        <x:f>SUMIFS('Codex Costs'!$X$2:$X$134,'Codex Costs'!$A$2:$A$134,$A5,'Codex Costs'!$E$2:$E$134,B$3)</x:f>
        <x:v>0</x:v>
      </x:c>
      <x:c r="C5" s="24" t="n">
        <x:f>SUMIFS('Codex Costs'!$X$2:$X$134,'Codex Costs'!$A$2:$A$134,$A5,'Codex Costs'!$E$2:$E$134,C$3)</x:f>
        <x:v>0</x:v>
      </x:c>
      <x:c r="D5" s="24" t="n">
        <x:f>SUMIFS('Codex Costs'!$X$2:$X$134,'Codex Costs'!$A$2:$A$134,$A5,'Codex Costs'!$E$2:$E$134,D$3)</x:f>
        <x:v>0</x:v>
      </x:c>
      <x:c r="E5" s="24" t="n">
        <x:f>SUMIFS('Codex Costs'!$X$2:$X$134,'Codex Costs'!$A$2:$A$134,$A5,'Codex Costs'!$E$2:$E$134,E$3)</x:f>
        <x:v>0</x:v>
      </x:c>
      <x:c r="F5" s="24" t="n">
        <x:f>SUMIFS('Codex Costs'!$X$2:$X$134,'Codex Costs'!$A$2:$A$134,$A5,'Codex Costs'!$E$2:$E$134,F$3)</x:f>
        <x:v>0</x:v>
      </x:c>
      <x:c r="G5" s="24" t="n">
        <x:f>SUMIFS('Codex Costs'!$X$2:$X$134,'Codex Costs'!$A$2:$A$134,$A5,'Codex Costs'!$E$2:$E$134,G$3)</x:f>
        <x:v>726.0630900000001</x:v>
      </x:c>
      <x:c r="H5" s="24" t="n">
        <x:f>SUMIFS('Codex Costs'!$X$2:$X$134,'Codex Costs'!$A$2:$A$134,$A5,'Codex Costs'!$E$2:$E$134,H$3)</x:f>
        <x:v>0</x:v>
      </x:c>
      <x:c r="I5" s="24" t="n">
        <x:f>SUMIFS('Codex Costs'!$X$2:$X$134,'Codex Costs'!$A$2:$A$134,$A5,'Codex Costs'!$E$2:$E$134,I$3)</x:f>
        <x:v>0</x:v>
      </x:c>
      <x:c r="J5" s="24" t="n">
        <x:f>SUMIFS('Claude Costs'!$X$2:$X$43,'Claude Costs'!$A$2:$A$43,$A5,'Claude Costs'!$E$2:$E$43,J$3)</x:f>
        <x:v>0</x:v>
      </x:c>
      <x:c r="K5" s="24" t="n">
        <x:f>SUMIFS('Claude Costs'!$X$2:$X$43,'Claude Costs'!$A$2:$A$43,$A5,'Claude Costs'!$E$2:$E$43,K$3)</x:f>
        <x:v>0</x:v>
      </x:c>
      <x:c r="L5" s="24" t="n">
        <x:f>SUMIFS('Claude Costs'!$X$2:$X$43,'Claude Costs'!$A$2:$A$43,$A5,'Claude Costs'!$E$2:$E$43,L$3)</x:f>
        <x:v>9.396461</x:v>
      </x:c>
      <x:c r="M5" s="24" t="n">
        <x:f>SUMIFS('Claude Costs'!$X$2:$X$43,'Claude Costs'!$A$2:$A$43,$A5,'Claude Costs'!$E$2:$E$43,M$3)</x:f>
        <x:v>0</x:v>
      </x:c>
    </x:row>
    <x:row r="6">
      <x:c r="A6" t="str">
        <x:v>2026-06-21</x:v>
      </x:c>
      <x:c r="B6" s="24" t="n">
        <x:f>SUMIFS('Codex Costs'!$X$2:$X$134,'Codex Costs'!$A$2:$A$134,$A6,'Codex Costs'!$E$2:$E$134,B$3)</x:f>
        <x:v>0</x:v>
      </x:c>
      <x:c r="C6" s="24" t="n">
        <x:f>SUMIFS('Codex Costs'!$X$2:$X$134,'Codex Costs'!$A$2:$A$134,$A6,'Codex Costs'!$E$2:$E$134,C$3)</x:f>
        <x:v>0</x:v>
      </x:c>
      <x:c r="D6" s="24" t="n">
        <x:f>SUMIFS('Codex Costs'!$X$2:$X$134,'Codex Costs'!$A$2:$A$134,$A6,'Codex Costs'!$E$2:$E$134,D$3)</x:f>
        <x:v>0</x:v>
      </x:c>
      <x:c r="E6" s="24" t="n">
        <x:f>SUMIFS('Codex Costs'!$X$2:$X$134,'Codex Costs'!$A$2:$A$134,$A6,'Codex Costs'!$E$2:$E$134,E$3)</x:f>
        <x:v>0</x:v>
      </x:c>
      <x:c r="F6" s="24" t="n">
        <x:f>SUMIFS('Codex Costs'!$X$2:$X$134,'Codex Costs'!$A$2:$A$134,$A6,'Codex Costs'!$E$2:$E$134,F$3)</x:f>
        <x:v>0</x:v>
      </x:c>
      <x:c r="G6" s="24" t="n">
        <x:f>SUMIFS('Codex Costs'!$X$2:$X$134,'Codex Costs'!$A$2:$A$134,$A6,'Codex Costs'!$E$2:$E$134,G$3)</x:f>
        <x:v>1575.900916</x:v>
      </x:c>
      <x:c r="H6" s="24" t="n">
        <x:f>SUMIFS('Codex Costs'!$X$2:$X$134,'Codex Costs'!$A$2:$A$134,$A6,'Codex Costs'!$E$2:$E$134,H$3)</x:f>
        <x:v>0</x:v>
      </x:c>
      <x:c r="I6" s="24" t="n">
        <x:f>SUMIFS('Codex Costs'!$X$2:$X$134,'Codex Costs'!$A$2:$A$134,$A6,'Codex Costs'!$E$2:$E$134,I$3)</x:f>
        <x:v>0</x:v>
      </x:c>
      <x:c r="J6" s="24" t="n">
        <x:f>SUMIFS('Claude Costs'!$X$2:$X$43,'Claude Costs'!$A$2:$A$43,$A6,'Claude Costs'!$E$2:$E$43,J$3)</x:f>
        <x:v>0</x:v>
      </x:c>
      <x:c r="K6" s="24" t="n">
        <x:f>SUMIFS('Claude Costs'!$X$2:$X$43,'Claude Costs'!$A$2:$A$43,$A6,'Claude Costs'!$E$2:$E$43,K$3)</x:f>
        <x:v>0</x:v>
      </x:c>
      <x:c r="L6" s="24" t="n">
        <x:f>SUMIFS('Claude Costs'!$X$2:$X$43,'Claude Costs'!$A$2:$A$43,$A6,'Claude Costs'!$E$2:$E$43,L$3)</x:f>
        <x:v>2.8774532500000003</x:v>
      </x:c>
      <x:c r="M6" s="24" t="n">
        <x:f>SUMIFS('Claude Costs'!$X$2:$X$43,'Claude Costs'!$A$2:$A$43,$A6,'Claude Costs'!$E$2:$E$43,M$3)</x:f>
        <x:v>0</x:v>
      </x:c>
    </x:row>
    <x:row r="7">
      <x:c r="A7" t="str">
        <x:v>2026-06-22</x:v>
      </x:c>
      <x:c r="B7" s="24" t="n">
        <x:f>SUMIFS('Codex Costs'!$X$2:$X$134,'Codex Costs'!$A$2:$A$134,$A7,'Codex Costs'!$E$2:$E$134,B$3)</x:f>
        <x:v>0</x:v>
      </x:c>
      <x:c r="C7" s="24" t="n">
        <x:f>SUMIFS('Codex Costs'!$X$2:$X$134,'Codex Costs'!$A$2:$A$134,$A7,'Codex Costs'!$E$2:$E$134,C$3)</x:f>
        <x:v>0</x:v>
      </x:c>
      <x:c r="D7" s="24" t="n">
        <x:f>SUMIFS('Codex Costs'!$X$2:$X$134,'Codex Costs'!$A$2:$A$134,$A7,'Codex Costs'!$E$2:$E$134,D$3)</x:f>
        <x:v>0</x:v>
      </x:c>
      <x:c r="E7" s="24" t="n">
        <x:f>SUMIFS('Codex Costs'!$X$2:$X$134,'Codex Costs'!$A$2:$A$134,$A7,'Codex Costs'!$E$2:$E$134,E$3)</x:f>
        <x:v>0</x:v>
      </x:c>
      <x:c r="F7" s="24" t="n">
        <x:f>SUMIFS('Codex Costs'!$X$2:$X$134,'Codex Costs'!$A$2:$A$134,$A7,'Codex Costs'!$E$2:$E$134,F$3)</x:f>
        <x:v>0</x:v>
      </x:c>
      <x:c r="G7" s="24" t="n">
        <x:f>SUMIFS('Codex Costs'!$X$2:$X$134,'Codex Costs'!$A$2:$A$134,$A7,'Codex Costs'!$E$2:$E$134,G$3)</x:f>
        <x:v>1776.8087449999998</x:v>
      </x:c>
      <x:c r="H7" s="24" t="n">
        <x:f>SUMIFS('Codex Costs'!$X$2:$X$134,'Codex Costs'!$A$2:$A$134,$A7,'Codex Costs'!$E$2:$E$134,H$3)</x:f>
        <x:v>0</x:v>
      </x:c>
      <x:c r="I7" s="24" t="n">
        <x:f>SUMIFS('Codex Costs'!$X$2:$X$134,'Codex Costs'!$A$2:$A$134,$A7,'Codex Costs'!$E$2:$E$134,I$3)</x:f>
        <x:v>0</x:v>
      </x:c>
      <x:c r="J7" s="24" t="n">
        <x:f>SUMIFS('Claude Costs'!$X$2:$X$43,'Claude Costs'!$A$2:$A$43,$A7,'Claude Costs'!$E$2:$E$43,J$3)</x:f>
        <x:v>0</x:v>
      </x:c>
      <x:c r="K7" s="24" t="n">
        <x:f>SUMIFS('Claude Costs'!$X$2:$X$43,'Claude Costs'!$A$2:$A$43,$A7,'Claude Costs'!$E$2:$E$43,K$3)</x:f>
        <x:v>0</x:v>
      </x:c>
      <x:c r="L7" s="24" t="n">
        <x:f>SUMIFS('Claude Costs'!$X$2:$X$43,'Claude Costs'!$A$2:$A$43,$A7,'Claude Costs'!$E$2:$E$43,L$3)</x:f>
        <x:v>180.9101375</x:v>
      </x:c>
      <x:c r="M7" s="24" t="n">
        <x:f>SUMIFS('Claude Costs'!$X$2:$X$43,'Claude Costs'!$A$2:$A$43,$A7,'Claude Costs'!$E$2:$E$43,M$3)</x:f>
        <x:v>0</x:v>
      </x:c>
    </x:row>
    <x:row r="8">
      <x:c r="A8" t="str">
        <x:v>2026-06-23</x:v>
      </x:c>
      <x:c r="B8" s="24" t="n">
        <x:f>SUMIFS('Codex Costs'!$X$2:$X$134,'Codex Costs'!$A$2:$A$134,$A8,'Codex Costs'!$E$2:$E$134,B$3)</x:f>
        <x:v>0</x:v>
      </x:c>
      <x:c r="C8" s="24" t="n">
        <x:f>SUMIFS('Codex Costs'!$X$2:$X$134,'Codex Costs'!$A$2:$A$134,$A8,'Codex Costs'!$E$2:$E$134,C$3)</x:f>
        <x:v>0</x:v>
      </x:c>
      <x:c r="D8" s="24" t="n">
        <x:f>SUMIFS('Codex Costs'!$X$2:$X$134,'Codex Costs'!$A$2:$A$134,$A8,'Codex Costs'!$E$2:$E$134,D$3)</x:f>
        <x:v>0</x:v>
      </x:c>
      <x:c r="E8" s="24" t="n">
        <x:f>SUMIFS('Codex Costs'!$X$2:$X$134,'Codex Costs'!$A$2:$A$134,$A8,'Codex Costs'!$E$2:$E$134,E$3)</x:f>
        <x:v>0</x:v>
      </x:c>
      <x:c r="F8" s="24" t="n">
        <x:f>SUMIFS('Codex Costs'!$X$2:$X$134,'Codex Costs'!$A$2:$A$134,$A8,'Codex Costs'!$E$2:$E$134,F$3)</x:f>
        <x:v>0</x:v>
      </x:c>
      <x:c r="G8" s="24" t="n">
        <x:f>SUMIFS('Codex Costs'!$X$2:$X$134,'Codex Costs'!$A$2:$A$134,$A8,'Codex Costs'!$E$2:$E$134,G$3)</x:f>
        <x:v>342.54386200000005</x:v>
      </x:c>
      <x:c r="H8" s="24" t="n">
        <x:f>SUMIFS('Codex Costs'!$X$2:$X$134,'Codex Costs'!$A$2:$A$134,$A8,'Codex Costs'!$E$2:$E$134,H$3)</x:f>
        <x:v>0</x:v>
      </x:c>
      <x:c r="I8" s="24" t="n">
        <x:f>SUMIFS('Codex Costs'!$X$2:$X$134,'Codex Costs'!$A$2:$A$134,$A8,'Codex Costs'!$E$2:$E$134,I$3)</x:f>
        <x:v>0</x:v>
      </x:c>
      <x:c r="J8" s="24" t="n">
        <x:f>SUMIFS('Claude Costs'!$X$2:$X$43,'Claude Costs'!$A$2:$A$43,$A8,'Claude Costs'!$E$2:$E$43,J$3)</x:f>
        <x:v>0</x:v>
      </x:c>
      <x:c r="K8" s="24" t="n">
        <x:f>SUMIFS('Claude Costs'!$X$2:$X$43,'Claude Costs'!$A$2:$A$43,$A8,'Claude Costs'!$E$2:$E$43,K$3)</x:f>
        <x:v>0</x:v>
      </x:c>
      <x:c r="L8" s="24" t="n">
        <x:f>SUMIFS('Claude Costs'!$X$2:$X$43,'Claude Costs'!$A$2:$A$43,$A8,'Claude Costs'!$E$2:$E$43,L$3)</x:f>
        <x:v>13.421204</x:v>
      </x:c>
      <x:c r="M8" s="24" t="n">
        <x:f>SUMIFS('Claude Costs'!$X$2:$X$43,'Claude Costs'!$A$2:$A$43,$A8,'Claude Costs'!$E$2:$E$43,M$3)</x:f>
        <x:v>0</x:v>
      </x:c>
    </x:row>
    <x:row r="9">
      <x:c r="A9" t="str">
        <x:v>2026-06-24</x:v>
      </x:c>
      <x:c r="B9" s="24" t="n">
        <x:f>SUMIFS('Codex Costs'!$X$2:$X$134,'Codex Costs'!$A$2:$A$134,$A9,'Codex Costs'!$E$2:$E$134,B$3)</x:f>
        <x:v>0</x:v>
      </x:c>
      <x:c r="C9" s="24" t="n">
        <x:f>SUMIFS('Codex Costs'!$X$2:$X$134,'Codex Costs'!$A$2:$A$134,$A9,'Codex Costs'!$E$2:$E$134,C$3)</x:f>
        <x:v>0</x:v>
      </x:c>
      <x:c r="D9" s="24" t="n">
        <x:f>SUMIFS('Codex Costs'!$X$2:$X$134,'Codex Costs'!$A$2:$A$134,$A9,'Codex Costs'!$E$2:$E$134,D$3)</x:f>
        <x:v>0</x:v>
      </x:c>
      <x:c r="E9" s="24" t="n">
        <x:f>SUMIFS('Codex Costs'!$X$2:$X$134,'Codex Costs'!$A$2:$A$134,$A9,'Codex Costs'!$E$2:$E$134,E$3)</x:f>
        <x:v>0</x:v>
      </x:c>
      <x:c r="F9" s="24" t="n">
        <x:f>SUMIFS('Codex Costs'!$X$2:$X$134,'Codex Costs'!$A$2:$A$134,$A9,'Codex Costs'!$E$2:$E$134,F$3)</x:f>
        <x:v>0</x:v>
      </x:c>
      <x:c r="G9" s="24" t="n">
        <x:f>SUMIFS('Codex Costs'!$X$2:$X$134,'Codex Costs'!$A$2:$A$134,$A9,'Codex Costs'!$E$2:$E$134,G$3)</x:f>
        <x:v>8961.089671</x:v>
      </x:c>
      <x:c r="H9" s="24" t="n">
        <x:f>SUMIFS('Codex Costs'!$X$2:$X$134,'Codex Costs'!$A$2:$A$134,$A9,'Codex Costs'!$E$2:$E$134,H$3)</x:f>
        <x:v>0</x:v>
      </x:c>
      <x:c r="I9" s="24" t="n">
        <x:f>SUMIFS('Codex Costs'!$X$2:$X$134,'Codex Costs'!$A$2:$A$134,$A9,'Codex Costs'!$E$2:$E$134,I$3)</x:f>
        <x:v>0</x:v>
      </x:c>
      <x:c r="J9" s="24" t="n">
        <x:f>SUMIFS('Claude Costs'!$X$2:$X$43,'Claude Costs'!$A$2:$A$43,$A9,'Claude Costs'!$E$2:$E$43,J$3)</x:f>
        <x:v>0</x:v>
      </x:c>
      <x:c r="K9" s="24" t="n">
        <x:f>SUMIFS('Claude Costs'!$X$2:$X$43,'Claude Costs'!$A$2:$A$43,$A9,'Claude Costs'!$E$2:$E$43,K$3)</x:f>
        <x:v>0.29214975</x:v>
      </x:c>
      <x:c r="L9" s="24" t="n">
        <x:f>SUMIFS('Claude Costs'!$X$2:$X$43,'Claude Costs'!$A$2:$A$43,$A9,'Claude Costs'!$E$2:$E$43,L$3)</x:f>
        <x:v>2.8630544999999996</x:v>
      </x:c>
      <x:c r="M9" s="24" t="n">
        <x:f>SUMIFS('Claude Costs'!$X$2:$X$43,'Claude Costs'!$A$2:$A$43,$A9,'Claude Costs'!$E$2:$E$43,M$3)</x:f>
        <x:v>0</x:v>
      </x:c>
    </x:row>
    <x:row r="10">
      <x:c r="A10" t="str">
        <x:v>2026-06-25</x:v>
      </x:c>
      <x:c r="B10" s="24" t="n">
        <x:f>SUMIFS('Codex Costs'!$X$2:$X$134,'Codex Costs'!$A$2:$A$134,$A10,'Codex Costs'!$E$2:$E$134,B$3)</x:f>
        <x:v>0</x:v>
      </x:c>
      <x:c r="C10" s="24" t="n">
        <x:f>SUMIFS('Codex Costs'!$X$2:$X$134,'Codex Costs'!$A$2:$A$134,$A10,'Codex Costs'!$E$2:$E$134,C$3)</x:f>
        <x:v>0</x:v>
      </x:c>
      <x:c r="D10" s="24" t="n">
        <x:f>SUMIFS('Codex Costs'!$X$2:$X$134,'Codex Costs'!$A$2:$A$134,$A10,'Codex Costs'!$E$2:$E$134,D$3)</x:f>
        <x:v>0</x:v>
      </x:c>
      <x:c r="E10" s="24" t="n">
        <x:f>SUMIFS('Codex Costs'!$X$2:$X$134,'Codex Costs'!$A$2:$A$134,$A10,'Codex Costs'!$E$2:$E$134,E$3)</x:f>
        <x:v>0</x:v>
      </x:c>
      <x:c r="F10" s="24" t="n">
        <x:f>SUMIFS('Codex Costs'!$X$2:$X$134,'Codex Costs'!$A$2:$A$134,$A10,'Codex Costs'!$E$2:$E$134,F$3)</x:f>
        <x:v>0</x:v>
      </x:c>
      <x:c r="G10" s="24" t="n">
        <x:f>SUMIFS('Codex Costs'!$X$2:$X$134,'Codex Costs'!$A$2:$A$134,$A10,'Codex Costs'!$E$2:$E$134,G$3)</x:f>
        <x:v>418.586221</x:v>
      </x:c>
      <x:c r="H10" s="24" t="n">
        <x:f>SUMIFS('Codex Costs'!$X$2:$X$134,'Codex Costs'!$A$2:$A$134,$A10,'Codex Costs'!$E$2:$E$134,H$3)</x:f>
        <x:v>0</x:v>
      </x:c>
      <x:c r="I10" s="24" t="n">
        <x:f>SUMIFS('Codex Costs'!$X$2:$X$134,'Codex Costs'!$A$2:$A$134,$A10,'Codex Costs'!$E$2:$E$134,I$3)</x:f>
        <x:v>0</x:v>
      </x:c>
      <x:c r="J10" s="24" t="n">
        <x:f>SUMIFS('Claude Costs'!$X$2:$X$43,'Claude Costs'!$A$2:$A$43,$A10,'Claude Costs'!$E$2:$E$43,J$3)</x:f>
        <x:v>0</x:v>
      </x:c>
      <x:c r="K10" s="24" t="n">
        <x:f>SUMIFS('Claude Costs'!$X$2:$X$43,'Claude Costs'!$A$2:$A$43,$A10,'Claude Costs'!$E$2:$E$43,K$3)</x:f>
        <x:v>0</x:v>
      </x:c>
      <x:c r="L10" s="24" t="n">
        <x:f>SUMIFS('Claude Costs'!$X$2:$X$43,'Claude Costs'!$A$2:$A$43,$A10,'Claude Costs'!$E$2:$E$43,L$3)</x:f>
        <x:v>33.53490625</x:v>
      </x:c>
      <x:c r="M10" s="24" t="n">
        <x:f>SUMIFS('Claude Costs'!$X$2:$X$43,'Claude Costs'!$A$2:$A$43,$A10,'Claude Costs'!$E$2:$E$43,M$3)</x:f>
        <x:v>0</x:v>
      </x:c>
    </x:row>
    <x:row r="11">
      <x:c r="A11" t="str">
        <x:v>2026-06-26</x:v>
      </x:c>
      <x:c r="B11" s="24" t="n">
        <x:f>SUMIFS('Codex Costs'!$X$2:$X$134,'Codex Costs'!$A$2:$A$134,$A11,'Codex Costs'!$E$2:$E$134,B$3)</x:f>
        <x:v>0</x:v>
      </x:c>
      <x:c r="C11" s="24" t="n">
        <x:f>SUMIFS('Codex Costs'!$X$2:$X$134,'Codex Costs'!$A$2:$A$134,$A11,'Codex Costs'!$E$2:$E$134,C$3)</x:f>
        <x:v>0</x:v>
      </x:c>
      <x:c r="D11" s="24" t="n">
        <x:f>SUMIFS('Codex Costs'!$X$2:$X$134,'Codex Costs'!$A$2:$A$134,$A11,'Codex Costs'!$E$2:$E$134,D$3)</x:f>
        <x:v>0</x:v>
      </x:c>
      <x:c r="E11" s="24" t="n">
        <x:f>SUMIFS('Codex Costs'!$X$2:$X$134,'Codex Costs'!$A$2:$A$134,$A11,'Codex Costs'!$E$2:$E$134,E$3)</x:f>
        <x:v>0</x:v>
      </x:c>
      <x:c r="F11" s="24" t="n">
        <x:f>SUMIFS('Codex Costs'!$X$2:$X$134,'Codex Costs'!$A$2:$A$134,$A11,'Codex Costs'!$E$2:$E$134,F$3)</x:f>
        <x:v>0</x:v>
      </x:c>
      <x:c r="G11" s="24" t="n">
        <x:f>SUMIFS('Codex Costs'!$X$2:$X$134,'Codex Costs'!$A$2:$A$134,$A11,'Codex Costs'!$E$2:$E$134,G$3)</x:f>
        <x:v>1469.190288</x:v>
      </x:c>
      <x:c r="H11" s="24" t="n">
        <x:f>SUMIFS('Codex Costs'!$X$2:$X$134,'Codex Costs'!$A$2:$A$134,$A11,'Codex Costs'!$E$2:$E$134,H$3)</x:f>
        <x:v>0</x:v>
      </x:c>
      <x:c r="I11" s="24" t="n">
        <x:f>SUMIFS('Codex Costs'!$X$2:$X$134,'Codex Costs'!$A$2:$A$134,$A11,'Codex Costs'!$E$2:$E$134,I$3)</x:f>
        <x:v>0</x:v>
      </x:c>
      <x:c r="J11" s="24" t="n">
        <x:f>SUMIFS('Claude Costs'!$X$2:$X$43,'Claude Costs'!$A$2:$A$43,$A11,'Claude Costs'!$E$2:$E$43,J$3)</x:f>
        <x:v>0</x:v>
      </x:c>
      <x:c r="K11" s="24" t="n">
        <x:f>SUMIFS('Claude Costs'!$X$2:$X$43,'Claude Costs'!$A$2:$A$43,$A11,'Claude Costs'!$E$2:$E$43,K$3)</x:f>
        <x:v>0</x:v>
      </x:c>
      <x:c r="L11" s="24" t="n">
        <x:f>SUMIFS('Claude Costs'!$X$2:$X$43,'Claude Costs'!$A$2:$A$43,$A11,'Claude Costs'!$E$2:$E$43,L$3)</x:f>
        <x:v>218.63707475</x:v>
      </x:c>
      <x:c r="M11" s="24" t="n">
        <x:f>SUMIFS('Claude Costs'!$X$2:$X$43,'Claude Costs'!$A$2:$A$43,$A11,'Claude Costs'!$E$2:$E$43,M$3)</x:f>
        <x:v>0</x:v>
      </x:c>
    </x:row>
    <x:row r="12">
      <x:c r="A12" t="str">
        <x:v>2026-06-27</x:v>
      </x:c>
      <x:c r="B12" s="24" t="n">
        <x:f>SUMIFS('Codex Costs'!$X$2:$X$134,'Codex Costs'!$A$2:$A$134,$A12,'Codex Costs'!$E$2:$E$134,B$3)</x:f>
        <x:v>0</x:v>
      </x:c>
      <x:c r="C12" s="24" t="n">
        <x:f>SUMIFS('Codex Costs'!$X$2:$X$134,'Codex Costs'!$A$2:$A$134,$A12,'Codex Costs'!$E$2:$E$134,C$3)</x:f>
        <x:v>0</x:v>
      </x:c>
      <x:c r="D12" s="24" t="n">
        <x:f>SUMIFS('Codex Costs'!$X$2:$X$134,'Codex Costs'!$A$2:$A$134,$A12,'Codex Costs'!$E$2:$E$134,D$3)</x:f>
        <x:v>0</x:v>
      </x:c>
      <x:c r="E12" s="24" t="n">
        <x:f>SUMIFS('Codex Costs'!$X$2:$X$134,'Codex Costs'!$A$2:$A$134,$A12,'Codex Costs'!$E$2:$E$134,E$3)</x:f>
        <x:v>0</x:v>
      </x:c>
      <x:c r="F12" s="24" t="n">
        <x:f>SUMIFS('Codex Costs'!$X$2:$X$134,'Codex Costs'!$A$2:$A$134,$A12,'Codex Costs'!$E$2:$E$134,F$3)</x:f>
        <x:v>0</x:v>
      </x:c>
      <x:c r="G12" s="24" t="n">
        <x:f>SUMIFS('Codex Costs'!$X$2:$X$134,'Codex Costs'!$A$2:$A$134,$A12,'Codex Costs'!$E$2:$E$134,G$3)</x:f>
        <x:v>1994.890229</x:v>
      </x:c>
      <x:c r="H12" s="24" t="n">
        <x:f>SUMIFS('Codex Costs'!$X$2:$X$134,'Codex Costs'!$A$2:$A$134,$A12,'Codex Costs'!$E$2:$E$134,H$3)</x:f>
        <x:v>0</x:v>
      </x:c>
      <x:c r="I12" s="24" t="n">
        <x:f>SUMIFS('Codex Costs'!$X$2:$X$134,'Codex Costs'!$A$2:$A$134,$A12,'Codex Costs'!$E$2:$E$134,I$3)</x:f>
        <x:v>0</x:v>
      </x:c>
      <x:c r="J12" s="24" t="n">
        <x:f>SUMIFS('Claude Costs'!$X$2:$X$43,'Claude Costs'!$A$2:$A$43,$A12,'Claude Costs'!$E$2:$E$43,J$3)</x:f>
        <x:v>0</x:v>
      </x:c>
      <x:c r="K12" s="24" t="n">
        <x:f>SUMIFS('Claude Costs'!$X$2:$X$43,'Claude Costs'!$A$2:$A$43,$A12,'Claude Costs'!$E$2:$E$43,K$3)</x:f>
        <x:v>0</x:v>
      </x:c>
      <x:c r="L12" s="24" t="n">
        <x:f>SUMIFS('Claude Costs'!$X$2:$X$43,'Claude Costs'!$A$2:$A$43,$A12,'Claude Costs'!$E$2:$E$43,L$3)</x:f>
        <x:v>723.7438980000001</x:v>
      </x:c>
      <x:c r="M12" s="24" t="n">
        <x:f>SUMIFS('Claude Costs'!$X$2:$X$43,'Claude Costs'!$A$2:$A$43,$A12,'Claude Costs'!$E$2:$E$43,M$3)</x:f>
        <x:v>0</x:v>
      </x:c>
    </x:row>
    <x:row r="13">
      <x:c r="A13" t="str">
        <x:v>2026-06-28</x:v>
      </x:c>
      <x:c r="B13" s="24" t="n">
        <x:f>SUMIFS('Codex Costs'!$X$2:$X$134,'Codex Costs'!$A$2:$A$134,$A13,'Codex Costs'!$E$2:$E$134,B$3)</x:f>
        <x:v>0</x:v>
      </x:c>
      <x:c r="C13" s="24" t="n">
        <x:f>SUMIFS('Codex Costs'!$X$2:$X$134,'Codex Costs'!$A$2:$A$134,$A13,'Codex Costs'!$E$2:$E$134,C$3)</x:f>
        <x:v>0</x:v>
      </x:c>
      <x:c r="D13" s="24" t="n">
        <x:f>SUMIFS('Codex Costs'!$X$2:$X$134,'Codex Costs'!$A$2:$A$134,$A13,'Codex Costs'!$E$2:$E$134,D$3)</x:f>
        <x:v>0</x:v>
      </x:c>
      <x:c r="E13" s="24" t="n">
        <x:f>SUMIFS('Codex Costs'!$X$2:$X$134,'Codex Costs'!$A$2:$A$134,$A13,'Codex Costs'!$E$2:$E$134,E$3)</x:f>
        <x:v>0</x:v>
      </x:c>
      <x:c r="F13" s="24" t="n">
        <x:f>SUMIFS('Codex Costs'!$X$2:$X$134,'Codex Costs'!$A$2:$A$134,$A13,'Codex Costs'!$E$2:$E$134,F$3)</x:f>
        <x:v>0</x:v>
      </x:c>
      <x:c r="G13" s="24" t="n">
        <x:f>SUMIFS('Codex Costs'!$X$2:$X$134,'Codex Costs'!$A$2:$A$134,$A13,'Codex Costs'!$E$2:$E$134,G$3)</x:f>
        <x:v>2454.650922</x:v>
      </x:c>
      <x:c r="H13" s="24" t="n">
        <x:f>SUMIFS('Codex Costs'!$X$2:$X$134,'Codex Costs'!$A$2:$A$134,$A13,'Codex Costs'!$E$2:$E$134,H$3)</x:f>
        <x:v>0</x:v>
      </x:c>
      <x:c r="I13" s="24" t="n">
        <x:f>SUMIFS('Codex Costs'!$X$2:$X$134,'Codex Costs'!$A$2:$A$134,$A13,'Codex Costs'!$E$2:$E$134,I$3)</x:f>
        <x:v>0</x:v>
      </x:c>
      <x:c r="J13" s="24" t="n">
        <x:f>SUMIFS('Claude Costs'!$X$2:$X$43,'Claude Costs'!$A$2:$A$43,$A13,'Claude Costs'!$E$2:$E$43,J$3)</x:f>
        <x:v>0</x:v>
      </x:c>
      <x:c r="K13" s="24" t="n">
        <x:f>SUMIFS('Claude Costs'!$X$2:$X$43,'Claude Costs'!$A$2:$A$43,$A13,'Claude Costs'!$E$2:$E$43,K$3)</x:f>
        <x:v>0</x:v>
      </x:c>
      <x:c r="L13" s="24" t="n">
        <x:f>SUMIFS('Claude Costs'!$X$2:$X$43,'Claude Costs'!$A$2:$A$43,$A13,'Claude Costs'!$E$2:$E$43,L$3)</x:f>
        <x:v>205.086145</x:v>
      </x:c>
      <x:c r="M13" s="24" t="n">
        <x:f>SUMIFS('Claude Costs'!$X$2:$X$43,'Claude Costs'!$A$2:$A$43,$A13,'Claude Costs'!$E$2:$E$43,M$3)</x:f>
        <x:v>0</x:v>
      </x:c>
    </x:row>
    <x:row r="14">
      <x:c r="A14" t="str">
        <x:v>2026-06-29</x:v>
      </x:c>
      <x:c r="B14" s="24" t="n">
        <x:f>SUMIFS('Codex Costs'!$X$2:$X$134,'Codex Costs'!$A$2:$A$134,$A14,'Codex Costs'!$E$2:$E$134,B$3)</x:f>
        <x:v>0</x:v>
      </x:c>
      <x:c r="C14" s="24" t="n">
        <x:f>SUMIFS('Codex Costs'!$X$2:$X$134,'Codex Costs'!$A$2:$A$134,$A14,'Codex Costs'!$E$2:$E$134,C$3)</x:f>
        <x:v>0</x:v>
      </x:c>
      <x:c r="D14" s="24" t="n">
        <x:f>SUMIFS('Codex Costs'!$X$2:$X$134,'Codex Costs'!$A$2:$A$134,$A14,'Codex Costs'!$E$2:$E$134,D$3)</x:f>
        <x:v>0</x:v>
      </x:c>
      <x:c r="E14" s="24" t="n">
        <x:f>SUMIFS('Codex Costs'!$X$2:$X$134,'Codex Costs'!$A$2:$A$134,$A14,'Codex Costs'!$E$2:$E$134,E$3)</x:f>
        <x:v>0</x:v>
      </x:c>
      <x:c r="F14" s="24" t="n">
        <x:f>SUMIFS('Codex Costs'!$X$2:$X$134,'Codex Costs'!$A$2:$A$134,$A14,'Codex Costs'!$E$2:$E$134,F$3)</x:f>
        <x:v>0</x:v>
      </x:c>
      <x:c r="G14" s="24" t="n">
        <x:f>SUMIFS('Codex Costs'!$X$2:$X$134,'Codex Costs'!$A$2:$A$134,$A14,'Codex Costs'!$E$2:$E$134,G$3)</x:f>
        <x:v>3251.603671</x:v>
      </x:c>
      <x:c r="H14" s="24" t="n">
        <x:f>SUMIFS('Codex Costs'!$X$2:$X$134,'Codex Costs'!$A$2:$A$134,$A14,'Codex Costs'!$E$2:$E$134,H$3)</x:f>
        <x:v>0</x:v>
      </x:c>
      <x:c r="I14" s="24" t="n">
        <x:f>SUMIFS('Codex Costs'!$X$2:$X$134,'Codex Costs'!$A$2:$A$134,$A14,'Codex Costs'!$E$2:$E$134,I$3)</x:f>
        <x:v>0</x:v>
      </x:c>
      <x:c r="J14" s="24" t="n">
        <x:f>SUMIFS('Claude Costs'!$X$2:$X$43,'Claude Costs'!$A$2:$A$43,$A14,'Claude Costs'!$E$2:$E$43,J$3)</x:f>
        <x:v>0</x:v>
      </x:c>
      <x:c r="K14" s="24" t="n">
        <x:f>SUMIFS('Claude Costs'!$X$2:$X$43,'Claude Costs'!$A$2:$A$43,$A14,'Claude Costs'!$E$2:$E$43,K$3)</x:f>
        <x:v>0</x:v>
      </x:c>
      <x:c r="L14" s="24" t="n">
        <x:f>SUMIFS('Claude Costs'!$X$2:$X$43,'Claude Costs'!$A$2:$A$43,$A14,'Claude Costs'!$E$2:$E$43,L$3)</x:f>
        <x:v>2.85953425</x:v>
      </x:c>
      <x:c r="M14" s="24" t="n">
        <x:f>SUMIFS('Claude Costs'!$X$2:$X$43,'Claude Costs'!$A$2:$A$43,$A14,'Claude Costs'!$E$2:$E$43,M$3)</x:f>
        <x:v>0</x:v>
      </x:c>
    </x:row>
    <x:row r="15">
      <x:c r="A15" t="str">
        <x:v>2026-06-30</x:v>
      </x:c>
      <x:c r="B15" s="24" t="n">
        <x:f>SUMIFS('Codex Costs'!$X$2:$X$134,'Codex Costs'!$A$2:$A$134,$A15,'Codex Costs'!$E$2:$E$134,B$3)</x:f>
        <x:v>0</x:v>
      </x:c>
      <x:c r="C15" s="24" t="n">
        <x:f>SUMIFS('Codex Costs'!$X$2:$X$134,'Codex Costs'!$A$2:$A$134,$A15,'Codex Costs'!$E$2:$E$134,C$3)</x:f>
        <x:v>0</x:v>
      </x:c>
      <x:c r="D15" s="24" t="n">
        <x:f>SUMIFS('Codex Costs'!$X$2:$X$134,'Codex Costs'!$A$2:$A$134,$A15,'Codex Costs'!$E$2:$E$134,D$3)</x:f>
        <x:v>0</x:v>
      </x:c>
      <x:c r="E15" s="24" t="n">
        <x:f>SUMIFS('Codex Costs'!$X$2:$X$134,'Codex Costs'!$A$2:$A$134,$A15,'Codex Costs'!$E$2:$E$134,E$3)</x:f>
        <x:v>0</x:v>
      </x:c>
      <x:c r="F15" s="24" t="n">
        <x:f>SUMIFS('Codex Costs'!$X$2:$X$134,'Codex Costs'!$A$2:$A$134,$A15,'Codex Costs'!$E$2:$E$134,F$3)</x:f>
        <x:v>0</x:v>
      </x:c>
      <x:c r="G15" s="24" t="n">
        <x:f>SUMIFS('Codex Costs'!$X$2:$X$134,'Codex Costs'!$A$2:$A$134,$A15,'Codex Costs'!$E$2:$E$134,G$3)</x:f>
        <x:v>7267.130060000001</x:v>
      </x:c>
      <x:c r="H15" s="24" t="n">
        <x:f>SUMIFS('Codex Costs'!$X$2:$X$134,'Codex Costs'!$A$2:$A$134,$A15,'Codex Costs'!$E$2:$E$134,H$3)</x:f>
        <x:v>0</x:v>
      </x:c>
      <x:c r="I15" s="24" t="n">
        <x:f>SUMIFS('Codex Costs'!$X$2:$X$134,'Codex Costs'!$A$2:$A$134,$A15,'Codex Costs'!$E$2:$E$134,I$3)</x:f>
        <x:v>0</x:v>
      </x:c>
      <x:c r="J15" s="24" t="n">
        <x:f>SUMIFS('Claude Costs'!$X$2:$X$43,'Claude Costs'!$A$2:$A$43,$A15,'Claude Costs'!$E$2:$E$43,J$3)</x:f>
        <x:v>0</x:v>
      </x:c>
      <x:c r="K15" s="24" t="n">
        <x:f>SUMIFS('Claude Costs'!$X$2:$X$43,'Claude Costs'!$A$2:$A$43,$A15,'Claude Costs'!$E$2:$E$43,K$3)</x:f>
        <x:v>0</x:v>
      </x:c>
      <x:c r="L15" s="24" t="n">
        <x:f>SUMIFS('Claude Costs'!$X$2:$X$43,'Claude Costs'!$A$2:$A$43,$A15,'Claude Costs'!$E$2:$E$43,L$3)</x:f>
        <x:v>0</x:v>
      </x:c>
      <x:c r="M15" s="24" t="n">
        <x:f>SUMIFS('Claude Costs'!$X$2:$X$43,'Claude Costs'!$A$2:$A$43,$A15,'Claude Costs'!$E$2:$E$43,M$3)</x:f>
        <x:v>0</x:v>
      </x:c>
    </x:row>
    <x:row r="16">
      <x:c r="A16" t="str">
        <x:v>2026-07-01</x:v>
      </x:c>
      <x:c r="B16" s="24" t="n">
        <x:f>SUMIFS('Codex Costs'!$X$2:$X$134,'Codex Costs'!$A$2:$A$134,$A16,'Codex Costs'!$E$2:$E$134,B$3)</x:f>
        <x:v>0</x:v>
      </x:c>
      <x:c r="C16" s="24" t="n">
        <x:f>SUMIFS('Codex Costs'!$X$2:$X$134,'Codex Costs'!$A$2:$A$134,$A16,'Codex Costs'!$E$2:$E$134,C$3)</x:f>
        <x:v>0</x:v>
      </x:c>
      <x:c r="D16" s="24" t="n">
        <x:f>SUMIFS('Codex Costs'!$X$2:$X$134,'Codex Costs'!$A$2:$A$134,$A16,'Codex Costs'!$E$2:$E$134,D$3)</x:f>
        <x:v>0</x:v>
      </x:c>
      <x:c r="E16" s="24" t="n">
        <x:f>SUMIFS('Codex Costs'!$X$2:$X$134,'Codex Costs'!$A$2:$A$134,$A16,'Codex Costs'!$E$2:$E$134,E$3)</x:f>
        <x:v>0</x:v>
      </x:c>
      <x:c r="F16" s="24" t="n">
        <x:f>SUMIFS('Codex Costs'!$X$2:$X$134,'Codex Costs'!$A$2:$A$134,$A16,'Codex Costs'!$E$2:$E$134,F$3)</x:f>
        <x:v>0</x:v>
      </x:c>
      <x:c r="G16" s="24" t="n">
        <x:f>SUMIFS('Codex Costs'!$X$2:$X$134,'Codex Costs'!$A$2:$A$134,$A16,'Codex Costs'!$E$2:$E$134,G$3)</x:f>
        <x:v>945.9999050000001</x:v>
      </x:c>
      <x:c r="H16" s="24" t="n">
        <x:f>SUMIFS('Codex Costs'!$X$2:$X$134,'Codex Costs'!$A$2:$A$134,$A16,'Codex Costs'!$E$2:$E$134,H$3)</x:f>
        <x:v>0</x:v>
      </x:c>
      <x:c r="I16" s="24" t="n">
        <x:f>SUMIFS('Codex Costs'!$X$2:$X$134,'Codex Costs'!$A$2:$A$134,$A16,'Codex Costs'!$E$2:$E$134,I$3)</x:f>
        <x:v>0</x:v>
      </x:c>
      <x:c r="J16" s="24" t="n">
        <x:f>SUMIFS('Claude Costs'!$X$2:$X$43,'Claude Costs'!$A$2:$A$43,$A16,'Claude Costs'!$E$2:$E$43,J$3)</x:f>
        <x:v>0</x:v>
      </x:c>
      <x:c r="K16" s="24" t="n">
        <x:f>SUMIFS('Claude Costs'!$X$2:$X$43,'Claude Costs'!$A$2:$A$43,$A16,'Claude Costs'!$E$2:$E$43,K$3)</x:f>
        <x:v>0</x:v>
      </x:c>
      <x:c r="L16" s="24" t="n">
        <x:f>SUMIFS('Claude Costs'!$X$2:$X$43,'Claude Costs'!$A$2:$A$43,$A16,'Claude Costs'!$E$2:$E$43,L$3)</x:f>
        <x:v>0</x:v>
      </x:c>
      <x:c r="M16" s="24" t="n">
        <x:f>SUMIFS('Claude Costs'!$X$2:$X$43,'Claude Costs'!$A$2:$A$43,$A16,'Claude Costs'!$E$2:$E$43,M$3)</x:f>
        <x:v>0</x:v>
      </x:c>
    </x:row>
    <x:row r="17">
      <x:c r="A17" t="str">
        <x:v>2026-07-02</x:v>
      </x:c>
      <x:c r="B17" s="24" t="n">
        <x:f>SUMIFS('Codex Costs'!$X$2:$X$134,'Codex Costs'!$A$2:$A$134,$A17,'Codex Costs'!$E$2:$E$134,B$3)</x:f>
        <x:v>0</x:v>
      </x:c>
      <x:c r="C17" s="24" t="n">
        <x:f>SUMIFS('Codex Costs'!$X$2:$X$134,'Codex Costs'!$A$2:$A$134,$A17,'Codex Costs'!$E$2:$E$134,C$3)</x:f>
        <x:v>0</x:v>
      </x:c>
      <x:c r="D17" s="24" t="n">
        <x:f>SUMIFS('Codex Costs'!$X$2:$X$134,'Codex Costs'!$A$2:$A$134,$A17,'Codex Costs'!$E$2:$E$134,D$3)</x:f>
        <x:v>0</x:v>
      </x:c>
      <x:c r="E17" s="24" t="n">
        <x:f>SUMIFS('Codex Costs'!$X$2:$X$134,'Codex Costs'!$A$2:$A$134,$A17,'Codex Costs'!$E$2:$E$134,E$3)</x:f>
        <x:v>0</x:v>
      </x:c>
      <x:c r="F17" s="24" t="n">
        <x:f>SUMIFS('Codex Costs'!$X$2:$X$134,'Codex Costs'!$A$2:$A$134,$A17,'Codex Costs'!$E$2:$E$134,F$3)</x:f>
        <x:v>0</x:v>
      </x:c>
      <x:c r="G17" s="24" t="n">
        <x:f>SUMIFS('Codex Costs'!$X$2:$X$134,'Codex Costs'!$A$2:$A$134,$A17,'Codex Costs'!$E$2:$E$134,G$3)</x:f>
        <x:v>1041.951387</x:v>
      </x:c>
      <x:c r="H17" s="24" t="n">
        <x:f>SUMIFS('Codex Costs'!$X$2:$X$134,'Codex Costs'!$A$2:$A$134,$A17,'Codex Costs'!$E$2:$E$134,H$3)</x:f>
        <x:v>0</x:v>
      </x:c>
      <x:c r="I17" s="24" t="n">
        <x:f>SUMIFS('Codex Costs'!$X$2:$X$134,'Codex Costs'!$A$2:$A$134,$A17,'Codex Costs'!$E$2:$E$134,I$3)</x:f>
        <x:v>0</x:v>
      </x:c>
      <x:c r="J17" s="24" t="n">
        <x:f>SUMIFS('Claude Costs'!$X$2:$X$43,'Claude Costs'!$A$2:$A$43,$A17,'Claude Costs'!$E$2:$E$43,J$3)</x:f>
        <x:v>0</x:v>
      </x:c>
      <x:c r="K17" s="24" t="n">
        <x:f>SUMIFS('Claude Costs'!$X$2:$X$43,'Claude Costs'!$A$2:$A$43,$A17,'Claude Costs'!$E$2:$E$43,K$3)</x:f>
        <x:v>0</x:v>
      </x:c>
      <x:c r="L17" s="24" t="n">
        <x:f>SUMIFS('Claude Costs'!$X$2:$X$43,'Claude Costs'!$A$2:$A$43,$A17,'Claude Costs'!$E$2:$E$43,L$3)</x:f>
        <x:v>0</x:v>
      </x:c>
      <x:c r="M17" s="24" t="n">
        <x:f>SUMIFS('Claude Costs'!$X$2:$X$43,'Claude Costs'!$A$2:$A$43,$A17,'Claude Costs'!$E$2:$E$43,M$3)</x:f>
        <x:v>0</x:v>
      </x:c>
    </x:row>
    <x:row r="18">
      <x:c r="A18" t="str">
        <x:v>2026-07-03</x:v>
      </x:c>
      <x:c r="B18" s="24" t="n">
        <x:f>SUMIFS('Codex Costs'!$X$2:$X$134,'Codex Costs'!$A$2:$A$134,$A18,'Codex Costs'!$E$2:$E$134,B$3)</x:f>
        <x:v>0</x:v>
      </x:c>
      <x:c r="C18" s="24" t="n">
        <x:f>SUMIFS('Codex Costs'!$X$2:$X$134,'Codex Costs'!$A$2:$A$134,$A18,'Codex Costs'!$E$2:$E$134,C$3)</x:f>
        <x:v>0</x:v>
      </x:c>
      <x:c r="D18" s="24" t="n">
        <x:f>SUMIFS('Codex Costs'!$X$2:$X$134,'Codex Costs'!$A$2:$A$134,$A18,'Codex Costs'!$E$2:$E$134,D$3)</x:f>
        <x:v>0</x:v>
      </x:c>
      <x:c r="E18" s="24" t="n">
        <x:f>SUMIFS('Codex Costs'!$X$2:$X$134,'Codex Costs'!$A$2:$A$134,$A18,'Codex Costs'!$E$2:$E$134,E$3)</x:f>
        <x:v>0</x:v>
      </x:c>
      <x:c r="F18" s="24" t="n">
        <x:f>SUMIFS('Codex Costs'!$X$2:$X$134,'Codex Costs'!$A$2:$A$134,$A18,'Codex Costs'!$E$2:$E$134,F$3)</x:f>
        <x:v>0</x:v>
      </x:c>
      <x:c r="G18" s="24" t="n">
        <x:f>SUMIFS('Codex Costs'!$X$2:$X$134,'Codex Costs'!$A$2:$A$134,$A18,'Codex Costs'!$E$2:$E$134,G$3)</x:f>
        <x:v>910.643014</x:v>
      </x:c>
      <x:c r="H18" s="24" t="n">
        <x:f>SUMIFS('Codex Costs'!$X$2:$X$134,'Codex Costs'!$A$2:$A$134,$A18,'Codex Costs'!$E$2:$E$134,H$3)</x:f>
        <x:v>0</x:v>
      </x:c>
      <x:c r="I18" s="24" t="n">
        <x:f>SUMIFS('Codex Costs'!$X$2:$X$134,'Codex Costs'!$A$2:$A$134,$A18,'Codex Costs'!$E$2:$E$134,I$3)</x:f>
        <x:v>0</x:v>
      </x:c>
      <x:c r="J18" s="24" t="n">
        <x:f>SUMIFS('Claude Costs'!$X$2:$X$43,'Claude Costs'!$A$2:$A$43,$A18,'Claude Costs'!$E$2:$E$43,J$3)</x:f>
        <x:v>0</x:v>
      </x:c>
      <x:c r="K18" s="24" t="n">
        <x:f>SUMIFS('Claude Costs'!$X$2:$X$43,'Claude Costs'!$A$2:$A$43,$A18,'Claude Costs'!$E$2:$E$43,K$3)</x:f>
        <x:v>0</x:v>
      </x:c>
      <x:c r="L18" s="24" t="n">
        <x:f>SUMIFS('Claude Costs'!$X$2:$X$43,'Claude Costs'!$A$2:$A$43,$A18,'Claude Costs'!$E$2:$E$43,L$3)</x:f>
        <x:v>0</x:v>
      </x:c>
      <x:c r="M18" s="24" t="n">
        <x:f>SUMIFS('Claude Costs'!$X$2:$X$43,'Claude Costs'!$A$2:$A$43,$A18,'Claude Costs'!$E$2:$E$43,M$3)</x:f>
        <x:v>0</x:v>
      </x:c>
    </x:row>
    <x:row r="19">
      <x:c r="A19" t="str">
        <x:v>2026-07-04</x:v>
      </x:c>
      <x:c r="B19" s="24" t="n">
        <x:f>SUMIFS('Codex Costs'!$X$2:$X$134,'Codex Costs'!$A$2:$A$134,$A19,'Codex Costs'!$E$2:$E$134,B$3)</x:f>
        <x:v>0</x:v>
      </x:c>
      <x:c r="C19" s="24" t="n">
        <x:f>SUMIFS('Codex Costs'!$X$2:$X$134,'Codex Costs'!$A$2:$A$134,$A19,'Codex Costs'!$E$2:$E$134,C$3)</x:f>
        <x:v>0</x:v>
      </x:c>
      <x:c r="D19" s="24" t="n">
        <x:f>SUMIFS('Codex Costs'!$X$2:$X$134,'Codex Costs'!$A$2:$A$134,$A19,'Codex Costs'!$E$2:$E$134,D$3)</x:f>
        <x:v>0</x:v>
      </x:c>
      <x:c r="E19" s="24" t="n">
        <x:f>SUMIFS('Codex Costs'!$X$2:$X$134,'Codex Costs'!$A$2:$A$134,$A19,'Codex Costs'!$E$2:$E$134,E$3)</x:f>
        <x:v>0</x:v>
      </x:c>
      <x:c r="F19" s="24" t="n">
        <x:f>SUMIFS('Codex Costs'!$X$2:$X$134,'Codex Costs'!$A$2:$A$134,$A19,'Codex Costs'!$E$2:$E$134,F$3)</x:f>
        <x:v>0</x:v>
      </x:c>
      <x:c r="G19" s="24" t="n">
        <x:f>SUMIFS('Codex Costs'!$X$2:$X$134,'Codex Costs'!$A$2:$A$134,$A19,'Codex Costs'!$E$2:$E$134,G$3)</x:f>
        <x:v>1154.084324</x:v>
      </x:c>
      <x:c r="H19" s="24" t="n">
        <x:f>SUMIFS('Codex Costs'!$X$2:$X$134,'Codex Costs'!$A$2:$A$134,$A19,'Codex Costs'!$E$2:$E$134,H$3)</x:f>
        <x:v>0</x:v>
      </x:c>
      <x:c r="I19" s="24" t="n">
        <x:f>SUMIFS('Codex Costs'!$X$2:$X$134,'Codex Costs'!$A$2:$A$134,$A19,'Codex Costs'!$E$2:$E$134,I$3)</x:f>
        <x:v>0</x:v>
      </x:c>
      <x:c r="J19" s="24" t="n">
        <x:f>SUMIFS('Claude Costs'!$X$2:$X$43,'Claude Costs'!$A$2:$A$43,$A19,'Claude Costs'!$E$2:$E$43,J$3)</x:f>
        <x:v>0</x:v>
      </x:c>
      <x:c r="K19" s="24" t="n">
        <x:f>SUMIFS('Claude Costs'!$X$2:$X$43,'Claude Costs'!$A$2:$A$43,$A19,'Claude Costs'!$E$2:$E$43,K$3)</x:f>
        <x:v>0</x:v>
      </x:c>
      <x:c r="L19" s="24" t="n">
        <x:f>SUMIFS('Claude Costs'!$X$2:$X$43,'Claude Costs'!$A$2:$A$43,$A19,'Claude Costs'!$E$2:$E$43,L$3)</x:f>
        <x:v>0</x:v>
      </x:c>
      <x:c r="M19" s="24" t="n">
        <x:f>SUMIFS('Claude Costs'!$X$2:$X$43,'Claude Costs'!$A$2:$A$43,$A19,'Claude Costs'!$E$2:$E$43,M$3)</x:f>
        <x:v>0</x:v>
      </x:c>
    </x:row>
    <x:row r="20">
      <x:c r="A20" t="str">
        <x:v>2026-07-05</x:v>
      </x:c>
      <x:c r="B20" s="24" t="n">
        <x:f>SUMIFS('Codex Costs'!$X$2:$X$134,'Codex Costs'!$A$2:$A$134,$A20,'Codex Costs'!$E$2:$E$134,B$3)</x:f>
        <x:v>0</x:v>
      </x:c>
      <x:c r="C20" s="24" t="n">
        <x:f>SUMIFS('Codex Costs'!$X$2:$X$134,'Codex Costs'!$A$2:$A$134,$A20,'Codex Costs'!$E$2:$E$134,C$3)</x:f>
        <x:v>0</x:v>
      </x:c>
      <x:c r="D20" s="24" t="n">
        <x:f>SUMIFS('Codex Costs'!$X$2:$X$134,'Codex Costs'!$A$2:$A$134,$A20,'Codex Costs'!$E$2:$E$134,D$3)</x:f>
        <x:v>0</x:v>
      </x:c>
      <x:c r="E20" s="24" t="n">
        <x:f>SUMIFS('Codex Costs'!$X$2:$X$134,'Codex Costs'!$A$2:$A$134,$A20,'Codex Costs'!$E$2:$E$134,E$3)</x:f>
        <x:v>0</x:v>
      </x:c>
      <x:c r="F20" s="24" t="n">
        <x:f>SUMIFS('Codex Costs'!$X$2:$X$134,'Codex Costs'!$A$2:$A$134,$A20,'Codex Costs'!$E$2:$E$134,F$3)</x:f>
        <x:v>0</x:v>
      </x:c>
      <x:c r="G20" s="24" t="n">
        <x:f>SUMIFS('Codex Costs'!$X$2:$X$134,'Codex Costs'!$A$2:$A$134,$A20,'Codex Costs'!$E$2:$E$134,G$3)</x:f>
        <x:v>926.265857</x:v>
      </x:c>
      <x:c r="H20" s="24" t="n">
        <x:f>SUMIFS('Codex Costs'!$X$2:$X$134,'Codex Costs'!$A$2:$A$134,$A20,'Codex Costs'!$E$2:$E$134,H$3)</x:f>
        <x:v>0</x:v>
      </x:c>
      <x:c r="I20" s="24" t="n">
        <x:f>SUMIFS('Codex Costs'!$X$2:$X$134,'Codex Costs'!$A$2:$A$134,$A20,'Codex Costs'!$E$2:$E$134,I$3)</x:f>
        <x:v>0</x:v>
      </x:c>
      <x:c r="J20" s="24" t="n">
        <x:f>SUMIFS('Claude Costs'!$X$2:$X$43,'Claude Costs'!$A$2:$A$43,$A20,'Claude Costs'!$E$2:$E$43,J$3)</x:f>
        <x:v>0</x:v>
      </x:c>
      <x:c r="K20" s="24" t="n">
        <x:f>SUMIFS('Claude Costs'!$X$2:$X$43,'Claude Costs'!$A$2:$A$43,$A20,'Claude Costs'!$E$2:$E$43,K$3)</x:f>
        <x:v>0</x:v>
      </x:c>
      <x:c r="L20" s="24" t="n">
        <x:f>SUMIFS('Claude Costs'!$X$2:$X$43,'Claude Costs'!$A$2:$A$43,$A20,'Claude Costs'!$E$2:$E$43,L$3)</x:f>
        <x:v>0</x:v>
      </x:c>
      <x:c r="M20" s="24" t="n">
        <x:f>SUMIFS('Claude Costs'!$X$2:$X$43,'Claude Costs'!$A$2:$A$43,$A20,'Claude Costs'!$E$2:$E$43,M$3)</x:f>
        <x:v>0</x:v>
      </x:c>
    </x:row>
    <x:row r="21">
      <x:c r="A21" t="str">
        <x:v>2026-07-06</x:v>
      </x:c>
      <x:c r="B21" s="24" t="n">
        <x:f>SUMIFS('Codex Costs'!$X$2:$X$134,'Codex Costs'!$A$2:$A$134,$A21,'Codex Costs'!$E$2:$E$134,B$3)</x:f>
        <x:v>0</x:v>
      </x:c>
      <x:c r="C21" s="24" t="n">
        <x:f>SUMIFS('Codex Costs'!$X$2:$X$134,'Codex Costs'!$A$2:$A$134,$A21,'Codex Costs'!$E$2:$E$134,C$3)</x:f>
        <x:v>0</x:v>
      </x:c>
      <x:c r="D21" s="24" t="n">
        <x:f>SUMIFS('Codex Costs'!$X$2:$X$134,'Codex Costs'!$A$2:$A$134,$A21,'Codex Costs'!$E$2:$E$134,D$3)</x:f>
        <x:v>0</x:v>
      </x:c>
      <x:c r="E21" s="24" t="n">
        <x:f>SUMIFS('Codex Costs'!$X$2:$X$134,'Codex Costs'!$A$2:$A$134,$A21,'Codex Costs'!$E$2:$E$134,E$3)</x:f>
        <x:v>0</x:v>
      </x:c>
      <x:c r="F21" s="24" t="n">
        <x:f>SUMIFS('Codex Costs'!$X$2:$X$134,'Codex Costs'!$A$2:$A$134,$A21,'Codex Costs'!$E$2:$E$134,F$3)</x:f>
        <x:v>0</x:v>
      </x:c>
      <x:c r="G21" s="24" t="n">
        <x:f>SUMIFS('Codex Costs'!$X$2:$X$134,'Codex Costs'!$A$2:$A$134,$A21,'Codex Costs'!$E$2:$E$134,G$3)</x:f>
        <x:v>508.237943</x:v>
      </x:c>
      <x:c r="H21" s="24" t="n">
        <x:f>SUMIFS('Codex Costs'!$X$2:$X$134,'Codex Costs'!$A$2:$A$134,$A21,'Codex Costs'!$E$2:$E$134,H$3)</x:f>
        <x:v>0</x:v>
      </x:c>
      <x:c r="I21" s="24" t="n">
        <x:f>SUMIFS('Codex Costs'!$X$2:$X$134,'Codex Costs'!$A$2:$A$134,$A21,'Codex Costs'!$E$2:$E$134,I$3)</x:f>
        <x:v>0</x:v>
      </x:c>
      <x:c r="J21" s="24" t="n">
        <x:f>SUMIFS('Claude Costs'!$X$2:$X$43,'Claude Costs'!$A$2:$A$43,$A21,'Claude Costs'!$E$2:$E$43,J$3)</x:f>
        <x:v>6.55262</x:v>
      </x:c>
      <x:c r="K21" s="24" t="n">
        <x:f>SUMIFS('Claude Costs'!$X$2:$X$43,'Claude Costs'!$A$2:$A$43,$A21,'Claude Costs'!$E$2:$E$43,K$3)</x:f>
        <x:v>0</x:v>
      </x:c>
      <x:c r="L21" s="24" t="n">
        <x:f>SUMIFS('Claude Costs'!$X$2:$X$43,'Claude Costs'!$A$2:$A$43,$A21,'Claude Costs'!$E$2:$E$43,L$3)</x:f>
        <x:v>2.2146645</x:v>
      </x:c>
      <x:c r="M21" s="24" t="n">
        <x:f>SUMIFS('Claude Costs'!$X$2:$X$43,'Claude Costs'!$A$2:$A$43,$A21,'Claude Costs'!$E$2:$E$43,M$3)</x:f>
        <x:v>0</x:v>
      </x:c>
    </x:row>
    <x:row r="22">
      <x:c r="A22" t="str">
        <x:v>2026-07-07</x:v>
      </x:c>
      <x:c r="B22" s="24" t="n">
        <x:f>SUMIFS('Codex Costs'!$X$2:$X$134,'Codex Costs'!$A$2:$A$134,$A22,'Codex Costs'!$E$2:$E$134,B$3)</x:f>
        <x:v>0</x:v>
      </x:c>
      <x:c r="C22" s="24" t="n">
        <x:f>SUMIFS('Codex Costs'!$X$2:$X$134,'Codex Costs'!$A$2:$A$134,$A22,'Codex Costs'!$E$2:$E$134,C$3)</x:f>
        <x:v>0</x:v>
      </x:c>
      <x:c r="D22" s="24" t="n">
        <x:f>SUMIFS('Codex Costs'!$X$2:$X$134,'Codex Costs'!$A$2:$A$134,$A22,'Codex Costs'!$E$2:$E$134,D$3)</x:f>
        <x:v>0</x:v>
      </x:c>
      <x:c r="E22" s="24" t="n">
        <x:f>SUMIFS('Codex Costs'!$X$2:$X$134,'Codex Costs'!$A$2:$A$134,$A22,'Codex Costs'!$E$2:$E$134,E$3)</x:f>
        <x:v>0</x:v>
      </x:c>
      <x:c r="F22" s="24" t="n">
        <x:f>SUMIFS('Codex Costs'!$X$2:$X$134,'Codex Costs'!$A$2:$A$134,$A22,'Codex Costs'!$E$2:$E$134,F$3)</x:f>
        <x:v>0</x:v>
      </x:c>
      <x:c r="G22" s="24" t="n">
        <x:f>SUMIFS('Codex Costs'!$X$2:$X$134,'Codex Costs'!$A$2:$A$134,$A22,'Codex Costs'!$E$2:$E$134,G$3)</x:f>
        <x:v>5631.190782</x:v>
      </x:c>
      <x:c r="H22" s="24" t="n">
        <x:f>SUMIFS('Codex Costs'!$X$2:$X$134,'Codex Costs'!$A$2:$A$134,$A22,'Codex Costs'!$E$2:$E$134,H$3)</x:f>
        <x:v>0</x:v>
      </x:c>
      <x:c r="I22" s="24" t="n">
        <x:f>SUMIFS('Codex Costs'!$X$2:$X$134,'Codex Costs'!$A$2:$A$134,$A22,'Codex Costs'!$E$2:$E$134,I$3)</x:f>
        <x:v>0</x:v>
      </x:c>
      <x:c r="J22" s="24" t="n">
        <x:f>SUMIFS('Claude Costs'!$X$2:$X$43,'Claude Costs'!$A$2:$A$43,$A22,'Claude Costs'!$E$2:$E$43,J$3)</x:f>
        <x:v>0</x:v>
      </x:c>
      <x:c r="K22" s="24" t="n">
        <x:f>SUMIFS('Claude Costs'!$X$2:$X$43,'Claude Costs'!$A$2:$A$43,$A22,'Claude Costs'!$E$2:$E$43,K$3)</x:f>
        <x:v>0</x:v>
      </x:c>
      <x:c r="L22" s="24" t="n">
        <x:f>SUMIFS('Claude Costs'!$X$2:$X$43,'Claude Costs'!$A$2:$A$43,$A22,'Claude Costs'!$E$2:$E$43,L$3)</x:f>
        <x:v>1.3052645</x:v>
      </x:c>
      <x:c r="M22" s="24" t="n">
        <x:f>SUMIFS('Claude Costs'!$X$2:$X$43,'Claude Costs'!$A$2:$A$43,$A22,'Claude Costs'!$E$2:$E$43,M$3)</x:f>
        <x:v>0</x:v>
      </x:c>
    </x:row>
    <x:row r="23">
      <x:c r="A23" t="str">
        <x:v>2026-07-08</x:v>
      </x:c>
      <x:c r="B23" s="24" t="n">
        <x:f>SUMIFS('Codex Costs'!$X$2:$X$134,'Codex Costs'!$A$2:$A$134,$A23,'Codex Costs'!$E$2:$E$134,B$3)</x:f>
        <x:v>0</x:v>
      </x:c>
      <x:c r="C23" s="24" t="n">
        <x:f>SUMIFS('Codex Costs'!$X$2:$X$134,'Codex Costs'!$A$2:$A$134,$A23,'Codex Costs'!$E$2:$E$134,C$3)</x:f>
        <x:v>0</x:v>
      </x:c>
      <x:c r="D23" s="24" t="n">
        <x:f>SUMIFS('Codex Costs'!$X$2:$X$134,'Codex Costs'!$A$2:$A$134,$A23,'Codex Costs'!$E$2:$E$134,D$3)</x:f>
        <x:v>0</x:v>
      </x:c>
      <x:c r="E23" s="24" t="n">
        <x:f>SUMIFS('Codex Costs'!$X$2:$X$134,'Codex Costs'!$A$2:$A$134,$A23,'Codex Costs'!$E$2:$E$134,E$3)</x:f>
        <x:v>0</x:v>
      </x:c>
      <x:c r="F23" s="24" t="n">
        <x:f>SUMIFS('Codex Costs'!$X$2:$X$134,'Codex Costs'!$A$2:$A$134,$A23,'Codex Costs'!$E$2:$E$134,F$3)</x:f>
        <x:v>0</x:v>
      </x:c>
      <x:c r="G23" s="24" t="n">
        <x:f>SUMIFS('Codex Costs'!$X$2:$X$134,'Codex Costs'!$A$2:$A$134,$A23,'Codex Costs'!$E$2:$E$134,G$3)</x:f>
        <x:v>4578.709395</x:v>
      </x:c>
      <x:c r="H23" s="24" t="n">
        <x:f>SUMIFS('Codex Costs'!$X$2:$X$134,'Codex Costs'!$A$2:$A$134,$A23,'Codex Costs'!$E$2:$E$134,H$3)</x:f>
        <x:v>0</x:v>
      </x:c>
      <x:c r="I23" s="24" t="n">
        <x:f>SUMIFS('Codex Costs'!$X$2:$X$134,'Codex Costs'!$A$2:$A$134,$A23,'Codex Costs'!$E$2:$E$134,I$3)</x:f>
        <x:v>0</x:v>
      </x:c>
      <x:c r="J23" s="24" t="n">
        <x:f>SUMIFS('Claude Costs'!$X$2:$X$43,'Claude Costs'!$A$2:$A$43,$A23,'Claude Costs'!$E$2:$E$43,J$3)</x:f>
        <x:v>133.01732649999997</x:v>
      </x:c>
      <x:c r="K23" s="24" t="n">
        <x:f>SUMIFS('Claude Costs'!$X$2:$X$43,'Claude Costs'!$A$2:$A$43,$A23,'Claude Costs'!$E$2:$E$43,K$3)</x:f>
        <x:v>0</x:v>
      </x:c>
      <x:c r="L23" s="24" t="n">
        <x:f>SUMIFS('Claude Costs'!$X$2:$X$43,'Claude Costs'!$A$2:$A$43,$A23,'Claude Costs'!$E$2:$E$43,L$3)</x:f>
        <x:v>26.012575249999998</x:v>
      </x:c>
      <x:c r="M23" s="24" t="n">
        <x:f>SUMIFS('Claude Costs'!$X$2:$X$43,'Claude Costs'!$A$2:$A$43,$A23,'Claude Costs'!$E$2:$E$43,M$3)</x:f>
        <x:v>0</x:v>
      </x:c>
    </x:row>
    <x:row r="24">
      <x:c r="A24" t="str">
        <x:v>2026-07-09</x:v>
      </x:c>
      <x:c r="B24" s="24" t="n">
        <x:f>SUMIFS('Codex Costs'!$X$2:$X$134,'Codex Costs'!$A$2:$A$134,$A24,'Codex Costs'!$E$2:$E$134,B$3)</x:f>
        <x:v>0</x:v>
      </x:c>
      <x:c r="C24" s="24" t="n">
        <x:f>SUMIFS('Codex Costs'!$X$2:$X$134,'Codex Costs'!$A$2:$A$134,$A24,'Codex Costs'!$E$2:$E$134,C$3)</x:f>
        <x:v>0</x:v>
      </x:c>
      <x:c r="D24" s="24" t="n">
        <x:f>SUMIFS('Codex Costs'!$X$2:$X$134,'Codex Costs'!$A$2:$A$134,$A24,'Codex Costs'!$E$2:$E$134,D$3)</x:f>
        <x:v>0</x:v>
      </x:c>
      <x:c r="E24" s="24" t="n">
        <x:f>SUMIFS('Codex Costs'!$X$2:$X$134,'Codex Costs'!$A$2:$A$134,$A24,'Codex Costs'!$E$2:$E$134,E$3)</x:f>
        <x:v>0</x:v>
      </x:c>
      <x:c r="F24" s="24" t="n">
        <x:f>SUMIFS('Codex Costs'!$X$2:$X$134,'Codex Costs'!$A$2:$A$134,$A24,'Codex Costs'!$E$2:$E$134,F$3)</x:f>
        <x:v>0</x:v>
      </x:c>
      <x:c r="G24" s="24" t="n">
        <x:f>SUMIFS('Codex Costs'!$X$2:$X$134,'Codex Costs'!$A$2:$A$134,$A24,'Codex Costs'!$E$2:$E$134,G$3)</x:f>
        <x:v>318.445888</x:v>
      </x:c>
      <x:c r="H24" s="24" t="n">
        <x:f>SUMIFS('Codex Costs'!$X$2:$X$134,'Codex Costs'!$A$2:$A$134,$A24,'Codex Costs'!$E$2:$E$134,H$3)</x:f>
        <x:v>0</x:v>
      </x:c>
      <x:c r="I24" s="24" t="n">
        <x:f>SUMIFS('Codex Costs'!$X$2:$X$134,'Codex Costs'!$A$2:$A$134,$A24,'Codex Costs'!$E$2:$E$134,I$3)</x:f>
        <x:v>855.185793</x:v>
      </x:c>
      <x:c r="J24" s="24" t="n">
        <x:f>SUMIFS('Claude Costs'!$X$2:$X$43,'Claude Costs'!$A$2:$A$43,$A24,'Claude Costs'!$E$2:$E$43,J$3)</x:f>
        <x:v>282.535342</x:v>
      </x:c>
      <x:c r="K24" s="24" t="n">
        <x:f>SUMIFS('Claude Costs'!$X$2:$X$43,'Claude Costs'!$A$2:$A$43,$A24,'Claude Costs'!$E$2:$E$43,K$3)</x:f>
        <x:v>0</x:v>
      </x:c>
      <x:c r="L24" s="24" t="n">
        <x:f>SUMIFS('Claude Costs'!$X$2:$X$43,'Claude Costs'!$A$2:$A$43,$A24,'Claude Costs'!$E$2:$E$43,L$3)</x:f>
        <x:v>19.196528999999998</x:v>
      </x:c>
      <x:c r="M24" s="24" t="n">
        <x:f>SUMIFS('Claude Costs'!$X$2:$X$43,'Claude Costs'!$A$2:$A$43,$A24,'Claude Costs'!$E$2:$E$43,M$3)</x:f>
        <x:v>0</x:v>
      </x:c>
    </x:row>
    <x:row r="25">
      <x:c r="A25" t="str">
        <x:v>2026-07-10</x:v>
      </x:c>
      <x:c r="B25" s="24" t="n">
        <x:f>SUMIFS('Codex Costs'!$X$2:$X$134,'Codex Costs'!$A$2:$A$134,$A25,'Codex Costs'!$E$2:$E$134,B$3)</x:f>
        <x:v>0</x:v>
      </x:c>
      <x:c r="C25" s="24" t="n">
        <x:f>SUMIFS('Codex Costs'!$X$2:$X$134,'Codex Costs'!$A$2:$A$134,$A25,'Codex Costs'!$E$2:$E$134,C$3)</x:f>
        <x:v>0</x:v>
      </x:c>
      <x:c r="D25" s="24" t="n">
        <x:f>SUMIFS('Codex Costs'!$X$2:$X$134,'Codex Costs'!$A$2:$A$134,$A25,'Codex Costs'!$E$2:$E$134,D$3)</x:f>
        <x:v>0</x:v>
      </x:c>
      <x:c r="E25" s="24" t="n">
        <x:f>SUMIFS('Codex Costs'!$X$2:$X$134,'Codex Costs'!$A$2:$A$134,$A25,'Codex Costs'!$E$2:$E$134,E$3)</x:f>
        <x:v>0</x:v>
      </x:c>
      <x:c r="F25" s="24" t="n">
        <x:f>SUMIFS('Codex Costs'!$X$2:$X$134,'Codex Costs'!$A$2:$A$134,$A25,'Codex Costs'!$E$2:$E$134,F$3)</x:f>
        <x:v>0</x:v>
      </x:c>
      <x:c r="G25" s="24" t="n">
        <x:f>SUMIFS('Codex Costs'!$X$2:$X$134,'Codex Costs'!$A$2:$A$134,$A25,'Codex Costs'!$E$2:$E$134,G$3)</x:f>
        <x:v>4.908996999999999</x:v>
      </x:c>
      <x:c r="H25" s="24" t="n">
        <x:f>SUMIFS('Codex Costs'!$X$2:$X$134,'Codex Costs'!$A$2:$A$134,$A25,'Codex Costs'!$E$2:$E$134,H$3)</x:f>
        <x:v>0.18234720000000001</x:v>
      </x:c>
      <x:c r="I25" s="24" t="n">
        <x:f>SUMIFS('Codex Costs'!$X$2:$X$134,'Codex Costs'!$A$2:$A$134,$A25,'Codex Costs'!$E$2:$E$134,I$3)</x:f>
        <x:v>373.576277</x:v>
      </x:c>
      <x:c r="J25" s="24" t="n">
        <x:f>SUMIFS('Claude Costs'!$X$2:$X$43,'Claude Costs'!$A$2:$A$43,$A25,'Claude Costs'!$E$2:$E$43,J$3)</x:f>
        <x:v>680.8062064999999</x:v>
      </x:c>
      <x:c r="K25" s="24" t="n">
        <x:f>SUMIFS('Claude Costs'!$X$2:$X$43,'Claude Costs'!$A$2:$A$43,$A25,'Claude Costs'!$E$2:$E$43,K$3)</x:f>
        <x:v>0</x:v>
      </x:c>
      <x:c r="L25" s="24" t="n">
        <x:f>SUMIFS('Claude Costs'!$X$2:$X$43,'Claude Costs'!$A$2:$A$43,$A25,'Claude Costs'!$E$2:$E$43,L$3)</x:f>
        <x:v>57.975246250000005</x:v>
      </x:c>
      <x:c r="M25" s="24" t="n">
        <x:f>SUMIFS('Claude Costs'!$X$2:$X$43,'Claude Costs'!$A$2:$A$43,$A25,'Claude Costs'!$E$2:$E$43,M$3)</x:f>
        <x:v>10.2188707</x:v>
      </x:c>
    </x:row>
    <x:row r="26">
      <x:c r="A26" t="str">
        <x:v>2026-07-11</x:v>
      </x:c>
      <x:c r="B26" s="24" t="n">
        <x:f>SUMIFS('Codex Costs'!$X$2:$X$134,'Codex Costs'!$A$2:$A$134,$A26,'Codex Costs'!$E$2:$E$134,B$3)</x:f>
        <x:v>0</x:v>
      </x:c>
      <x:c r="C26" s="24" t="n">
        <x:f>SUMIFS('Codex Costs'!$X$2:$X$134,'Codex Costs'!$A$2:$A$134,$A26,'Codex Costs'!$E$2:$E$134,C$3)</x:f>
        <x:v>0</x:v>
      </x:c>
      <x:c r="D26" s="24" t="n">
        <x:f>SUMIFS('Codex Costs'!$X$2:$X$134,'Codex Costs'!$A$2:$A$134,$A26,'Codex Costs'!$E$2:$E$134,D$3)</x:f>
        <x:v>0</x:v>
      </x:c>
      <x:c r="E26" s="24" t="n">
        <x:f>SUMIFS('Codex Costs'!$X$2:$X$134,'Codex Costs'!$A$2:$A$134,$A26,'Codex Costs'!$E$2:$E$134,E$3)</x:f>
        <x:v>0</x:v>
      </x:c>
      <x:c r="F26" s="24" t="n">
        <x:f>SUMIFS('Codex Costs'!$X$2:$X$134,'Codex Costs'!$A$2:$A$134,$A26,'Codex Costs'!$E$2:$E$134,F$3)</x:f>
        <x:v>0</x:v>
      </x:c>
      <x:c r="G26" s="24" t="n">
        <x:f>SUMIFS('Codex Costs'!$X$2:$X$134,'Codex Costs'!$A$2:$A$134,$A26,'Codex Costs'!$E$2:$E$134,G$3)</x:f>
        <x:v>0</x:v>
      </x:c>
      <x:c r="H26" s="24" t="n">
        <x:f>SUMIFS('Codex Costs'!$X$2:$X$134,'Codex Costs'!$A$2:$A$134,$A26,'Codex Costs'!$E$2:$E$134,H$3)</x:f>
        <x:v>0</x:v>
      </x:c>
      <x:c r="I26" s="24" t="n">
        <x:f>SUMIFS('Codex Costs'!$X$2:$X$134,'Codex Costs'!$A$2:$A$134,$A26,'Codex Costs'!$E$2:$E$134,I$3)</x:f>
        <x:v>5609.447088</x:v>
      </x:c>
      <x:c r="J26" s="24" t="n">
        <x:f>SUMIFS('Claude Costs'!$X$2:$X$43,'Claude Costs'!$A$2:$A$43,$A26,'Claude Costs'!$E$2:$E$43,J$3)</x:f>
        <x:v>353.790704</x:v>
      </x:c>
      <x:c r="K26" s="24" t="n">
        <x:f>SUMIFS('Claude Costs'!$X$2:$X$43,'Claude Costs'!$A$2:$A$43,$A26,'Claude Costs'!$E$2:$E$43,K$3)</x:f>
        <x:v>0</x:v>
      </x:c>
      <x:c r="L26" s="24" t="n">
        <x:f>SUMIFS('Claude Costs'!$X$2:$X$43,'Claude Costs'!$A$2:$A$43,$A26,'Claude Costs'!$E$2:$E$43,L$3)</x:f>
        <x:v>101.23204675</x:v>
      </x:c>
      <x:c r="M26" s="24" t="n">
        <x:f>SUMIFS('Claude Costs'!$X$2:$X$43,'Claude Costs'!$A$2:$A$43,$A26,'Claude Costs'!$E$2:$E$43,M$3)</x:f>
        <x:v>4.6120977000000005</x:v>
      </x:c>
    </x:row>
    <x:row r="27">
      <x:c r="A27" t="str">
        <x:v>2026-07-12</x:v>
      </x:c>
      <x:c r="B27" s="24" t="n">
        <x:f>SUMIFS('Codex Costs'!$X$2:$X$134,'Codex Costs'!$A$2:$A$134,$A27,'Codex Costs'!$E$2:$E$134,B$3)</x:f>
        <x:v>0</x:v>
      </x:c>
      <x:c r="C27" s="24" t="n">
        <x:f>SUMIFS('Codex Costs'!$X$2:$X$134,'Codex Costs'!$A$2:$A$134,$A27,'Codex Costs'!$E$2:$E$134,C$3)</x:f>
        <x:v>0</x:v>
      </x:c>
      <x:c r="D27" s="24" t="n">
        <x:f>SUMIFS('Codex Costs'!$X$2:$X$134,'Codex Costs'!$A$2:$A$134,$A27,'Codex Costs'!$E$2:$E$134,D$3)</x:f>
        <x:v>0</x:v>
      </x:c>
      <x:c r="E27" s="24" t="n">
        <x:f>SUMIFS('Codex Costs'!$X$2:$X$134,'Codex Costs'!$A$2:$A$134,$A27,'Codex Costs'!$E$2:$E$134,E$3)</x:f>
        <x:v>0</x:v>
      </x:c>
      <x:c r="F27" s="24" t="n">
        <x:f>SUMIFS('Codex Costs'!$X$2:$X$134,'Codex Costs'!$A$2:$A$134,$A27,'Codex Costs'!$E$2:$E$134,F$3)</x:f>
        <x:v>0</x:v>
      </x:c>
      <x:c r="G27" s="24" t="n">
        <x:f>SUMIFS('Codex Costs'!$X$2:$X$134,'Codex Costs'!$A$2:$A$134,$A27,'Codex Costs'!$E$2:$E$134,G$3)</x:f>
        <x:v>0</x:v>
      </x:c>
      <x:c r="H27" s="24" t="n">
        <x:f>SUMIFS('Codex Costs'!$X$2:$X$134,'Codex Costs'!$A$2:$A$134,$A27,'Codex Costs'!$E$2:$E$134,H$3)</x:f>
        <x:v>0</x:v>
      </x:c>
      <x:c r="I27" s="24" t="n">
        <x:f>SUMIFS('Codex Costs'!$X$2:$X$134,'Codex Costs'!$A$2:$A$134,$A27,'Codex Costs'!$E$2:$E$134,I$3)</x:f>
        <x:v>12467.260352000001</x:v>
      </x:c>
      <x:c r="J27" s="24" t="n">
        <x:f>SUMIFS('Claude Costs'!$X$2:$X$43,'Claude Costs'!$A$2:$A$43,$A27,'Claude Costs'!$E$2:$E$43,J$3)</x:f>
        <x:v>177.26452300000003</x:v>
      </x:c>
      <x:c r="K27" s="24" t="n">
        <x:f>SUMIFS('Claude Costs'!$X$2:$X$43,'Claude Costs'!$A$2:$A$43,$A27,'Claude Costs'!$E$2:$E$43,K$3)</x:f>
        <x:v>0</x:v>
      </x:c>
      <x:c r="L27" s="24" t="n">
        <x:f>SUMIFS('Claude Costs'!$X$2:$X$43,'Claude Costs'!$A$2:$A$43,$A27,'Claude Costs'!$E$2:$E$43,L$3)</x:f>
        <x:v>24.2780175</x:v>
      </x:c>
      <x:c r="M27" s="24" t="n">
        <x:f>SUMIFS('Claude Costs'!$X$2:$X$43,'Claude Costs'!$A$2:$A$43,$A27,'Claude Costs'!$E$2:$E$43,M$3)</x:f>
        <x:v>0</x:v>
      </x:c>
    </x:row>
    <x:row r="28">
      <x:c r="A28" t="str">
        <x:v>2026-07-13</x:v>
      </x:c>
      <x:c r="B28" s="24" t="n">
        <x:f>SUMIFS('Codex Costs'!$X$2:$X$134,'Codex Costs'!$A$2:$A$134,$A28,'Codex Costs'!$E$2:$E$134,B$3)</x:f>
        <x:v>0</x:v>
      </x:c>
      <x:c r="C28" s="24" t="n">
        <x:f>SUMIFS('Codex Costs'!$X$2:$X$134,'Codex Costs'!$A$2:$A$134,$A28,'Codex Costs'!$E$2:$E$134,C$3)</x:f>
        <x:v>0</x:v>
      </x:c>
      <x:c r="D28" s="24" t="n">
        <x:f>SUMIFS('Codex Costs'!$X$2:$X$134,'Codex Costs'!$A$2:$A$134,$A28,'Codex Costs'!$E$2:$E$134,D$3)</x:f>
        <x:v>0</x:v>
      </x:c>
      <x:c r="E28" s="24" t="n">
        <x:f>SUMIFS('Codex Costs'!$X$2:$X$134,'Codex Costs'!$A$2:$A$134,$A28,'Codex Costs'!$E$2:$E$134,E$3)</x:f>
        <x:v>0</x:v>
      </x:c>
      <x:c r="F28" s="24" t="n">
        <x:f>SUMIFS('Codex Costs'!$X$2:$X$134,'Codex Costs'!$A$2:$A$134,$A28,'Codex Costs'!$E$2:$E$134,F$3)</x:f>
        <x:v>0</x:v>
      </x:c>
      <x:c r="G28" s="24" t="n">
        <x:f>SUMIFS('Codex Costs'!$X$2:$X$134,'Codex Costs'!$A$2:$A$134,$A28,'Codex Costs'!$E$2:$E$134,G$3)</x:f>
        <x:v>79.175039</x:v>
      </x:c>
      <x:c r="H28" s="24" t="n">
        <x:f>SUMIFS('Codex Costs'!$X$2:$X$134,'Codex Costs'!$A$2:$A$134,$A28,'Codex Costs'!$E$2:$E$134,H$3)</x:f>
        <x:v>0</x:v>
      </x:c>
      <x:c r="I28" s="24" t="n">
        <x:f>SUMIFS('Codex Costs'!$X$2:$X$134,'Codex Costs'!$A$2:$A$134,$A28,'Codex Costs'!$E$2:$E$134,I$3)</x:f>
        <x:v>27430.536841999998</x:v>
      </x:c>
      <x:c r="J28" s="24" t="n">
        <x:f>SUMIFS('Claude Costs'!$X$2:$X$43,'Claude Costs'!$A$2:$A$43,$A28,'Claude Costs'!$E$2:$E$43,J$3)</x:f>
        <x:v>863.7816290000001</x:v>
      </x:c>
      <x:c r="K28" s="24" t="n">
        <x:f>SUMIFS('Claude Costs'!$X$2:$X$43,'Claude Costs'!$A$2:$A$43,$A28,'Claude Costs'!$E$2:$E$43,K$3)</x:f>
        <x:v>0</x:v>
      </x:c>
      <x:c r="L28" s="24" t="n">
        <x:f>SUMIFS('Claude Costs'!$X$2:$X$43,'Claude Costs'!$A$2:$A$43,$A28,'Claude Costs'!$E$2:$E$43,L$3)</x:f>
        <x:v>101.15827025</x:v>
      </x:c>
      <x:c r="M28" s="24" t="n">
        <x:f>SUMIFS('Claude Costs'!$X$2:$X$43,'Claude Costs'!$A$2:$A$43,$A28,'Claude Costs'!$E$2:$E$43,M$3)</x:f>
        <x:v>0</x:v>
      </x:c>
    </x:row>
    <x:row r="29">
      <x:c r="A29" t="str">
        <x:v>2026-07-14</x:v>
      </x:c>
      <x:c r="B29" s="24" t="n">
        <x:f>SUMIFS('Codex Costs'!$X$2:$X$134,'Codex Costs'!$A$2:$A$134,$A29,'Codex Costs'!$E$2:$E$134,B$3)</x:f>
        <x:v>0</x:v>
      </x:c>
      <x:c r="C29" s="24" t="n">
        <x:f>SUMIFS('Codex Costs'!$X$2:$X$134,'Codex Costs'!$A$2:$A$134,$A29,'Codex Costs'!$E$2:$E$134,C$3)</x:f>
        <x:v>0</x:v>
      </x:c>
      <x:c r="D29" s="24" t="n">
        <x:f>SUMIFS('Codex Costs'!$X$2:$X$134,'Codex Costs'!$A$2:$A$134,$A29,'Codex Costs'!$E$2:$E$134,D$3)</x:f>
        <x:v>0</x:v>
      </x:c>
      <x:c r="E29" s="24" t="n">
        <x:f>SUMIFS('Codex Costs'!$X$2:$X$134,'Codex Costs'!$A$2:$A$134,$A29,'Codex Costs'!$E$2:$E$134,E$3)</x:f>
        <x:v>0</x:v>
      </x:c>
      <x:c r="F29" s="24" t="n">
        <x:f>SUMIFS('Codex Costs'!$X$2:$X$134,'Codex Costs'!$A$2:$A$134,$A29,'Codex Costs'!$E$2:$E$134,F$3)</x:f>
        <x:v>0</x:v>
      </x:c>
      <x:c r="G29" s="24" t="n">
        <x:f>SUMIFS('Codex Costs'!$X$2:$X$134,'Codex Costs'!$A$2:$A$134,$A29,'Codex Costs'!$E$2:$E$134,G$3)</x:f>
        <x:v>1.7632629999999998</x:v>
      </x:c>
      <x:c r="H29" s="24" t="n">
        <x:f>SUMIFS('Codex Costs'!$X$2:$X$134,'Codex Costs'!$A$2:$A$134,$A29,'Codex Costs'!$E$2:$E$134,H$3)</x:f>
        <x:v>0.4949422</x:v>
      </x:c>
      <x:c r="I29" s="24" t="n">
        <x:f>SUMIFS('Codex Costs'!$X$2:$X$134,'Codex Costs'!$A$2:$A$134,$A29,'Codex Costs'!$E$2:$E$134,I$3)</x:f>
        <x:v>12908.983235999998</x:v>
      </x:c>
      <x:c r="J29" s="24" t="n">
        <x:f>SUMIFS('Claude Costs'!$X$2:$X$43,'Claude Costs'!$A$2:$A$43,$A29,'Claude Costs'!$E$2:$E$43,J$3)</x:f>
        <x:v>214.73452899999998</x:v>
      </x:c>
      <x:c r="K29" s="24" t="n">
        <x:f>SUMIFS('Claude Costs'!$X$2:$X$43,'Claude Costs'!$A$2:$A$43,$A29,'Claude Costs'!$E$2:$E$43,K$3)</x:f>
        <x:v>0</x:v>
      </x:c>
      <x:c r="L29" s="24" t="n">
        <x:f>SUMIFS('Claude Costs'!$X$2:$X$43,'Claude Costs'!$A$2:$A$43,$A29,'Claude Costs'!$E$2:$E$43,L$3)</x:f>
        <x:v>49.789050749999994</x:v>
      </x:c>
      <x:c r="M29" s="24" t="n">
        <x:f>SUMIFS('Claude Costs'!$X$2:$X$43,'Claude Costs'!$A$2:$A$43,$A29,'Claude Costs'!$E$2:$E$43,M$3)</x:f>
        <x:v>0</x:v>
      </x:c>
    </x:row>
    <x:row r="30">
      <x:c r="A30" t="str">
        <x:v>2026-07-15</x:v>
      </x:c>
      <x:c r="B30" s="24" t="n">
        <x:f>SUMIFS('Codex Costs'!$X$2:$X$134,'Codex Costs'!$A$2:$A$134,$A30,'Codex Costs'!$E$2:$E$134,B$3)</x:f>
        <x:v>0</x:v>
      </x:c>
      <x:c r="C30" s="24" t="n">
        <x:f>SUMIFS('Codex Costs'!$X$2:$X$134,'Codex Costs'!$A$2:$A$134,$A30,'Codex Costs'!$E$2:$E$134,C$3)</x:f>
        <x:v>0</x:v>
      </x:c>
      <x:c r="D30" s="24" t="n">
        <x:f>SUMIFS('Codex Costs'!$X$2:$X$134,'Codex Costs'!$A$2:$A$134,$A30,'Codex Costs'!$E$2:$E$134,D$3)</x:f>
        <x:v>0</x:v>
      </x:c>
      <x:c r="E30" s="24" t="n">
        <x:f>SUMIFS('Codex Costs'!$X$2:$X$134,'Codex Costs'!$A$2:$A$134,$A30,'Codex Costs'!$E$2:$E$134,E$3)</x:f>
        <x:v>0</x:v>
      </x:c>
      <x:c r="F30" s="24" t="n">
        <x:f>SUMIFS('Codex Costs'!$X$2:$X$134,'Codex Costs'!$A$2:$A$134,$A30,'Codex Costs'!$E$2:$E$134,F$3)</x:f>
        <x:v>0</x:v>
      </x:c>
      <x:c r="G30" s="24" t="n">
        <x:f>SUMIFS('Codex Costs'!$X$2:$X$134,'Codex Costs'!$A$2:$A$134,$A30,'Codex Costs'!$E$2:$E$134,G$3)</x:f>
        <x:v>1.586136</x:v>
      </x:c>
      <x:c r="H30" s="24" t="n">
        <x:f>SUMIFS('Codex Costs'!$X$2:$X$134,'Codex Costs'!$A$2:$A$134,$A30,'Codex Costs'!$E$2:$E$134,H$3)</x:f>
        <x:v>1.3841160000000001</x:v>
      </x:c>
      <x:c r="I30" s="24" t="n">
        <x:f>SUMIFS('Codex Costs'!$X$2:$X$134,'Codex Costs'!$A$2:$A$134,$A30,'Codex Costs'!$E$2:$E$134,I$3)</x:f>
        <x:v>3141.686115</x:v>
      </x:c>
      <x:c r="J30" s="24" t="n">
        <x:f>SUMIFS('Claude Costs'!$X$2:$X$43,'Claude Costs'!$A$2:$A$43,$A30,'Claude Costs'!$E$2:$E$43,J$3)</x:f>
        <x:v>330.449843</x:v>
      </x:c>
      <x:c r="K30" s="24" t="n">
        <x:f>SUMIFS('Claude Costs'!$X$2:$X$43,'Claude Costs'!$A$2:$A$43,$A30,'Claude Costs'!$E$2:$E$43,K$3)</x:f>
        <x:v>0</x:v>
      </x:c>
      <x:c r="L30" s="24" t="n">
        <x:f>SUMIFS('Claude Costs'!$X$2:$X$43,'Claude Costs'!$A$2:$A$43,$A30,'Claude Costs'!$E$2:$E$43,L$3)</x:f>
        <x:v>9.0590515</x:v>
      </x:c>
      <x:c r="M30" s="24" t="n">
        <x:f>SUMIFS('Claude Costs'!$X$2:$X$43,'Claude Costs'!$A$2:$A$43,$A30,'Claude Costs'!$E$2:$E$43,M$3)</x:f>
        <x:v>0</x:v>
      </x:c>
    </x:row>
    <x:row r="31">
      <x:c r="A31" t="str">
        <x:v>2026-07-16</x:v>
      </x:c>
      <x:c r="B31" s="24" t="n">
        <x:f>SUMIFS('Codex Costs'!$X$2:$X$134,'Codex Costs'!$A$2:$A$134,$A31,'Codex Costs'!$E$2:$E$134,B$3)</x:f>
        <x:v>0</x:v>
      </x:c>
      <x:c r="C31" s="24" t="n">
        <x:f>SUMIFS('Codex Costs'!$X$2:$X$134,'Codex Costs'!$A$2:$A$134,$A31,'Codex Costs'!$E$2:$E$134,C$3)</x:f>
        <x:v>0</x:v>
      </x:c>
      <x:c r="D31" s="24" t="n">
        <x:f>SUMIFS('Codex Costs'!$X$2:$X$134,'Codex Costs'!$A$2:$A$134,$A31,'Codex Costs'!$E$2:$E$134,D$3)</x:f>
        <x:v>0</x:v>
      </x:c>
      <x:c r="E31" s="24" t="n">
        <x:f>SUMIFS('Codex Costs'!$X$2:$X$134,'Codex Costs'!$A$2:$A$134,$A31,'Codex Costs'!$E$2:$E$134,E$3)</x:f>
        <x:v>0</x:v>
      </x:c>
      <x:c r="F31" s="24" t="n">
        <x:f>SUMIFS('Codex Costs'!$X$2:$X$134,'Codex Costs'!$A$2:$A$134,$A31,'Codex Costs'!$E$2:$E$134,F$3)</x:f>
        <x:v>0</x:v>
      </x:c>
      <x:c r="G31" s="24" t="n">
        <x:f>SUMIFS('Codex Costs'!$X$2:$X$134,'Codex Costs'!$A$2:$A$134,$A31,'Codex Costs'!$E$2:$E$134,G$3)</x:f>
        <x:v>2.7152730000000003</x:v>
      </x:c>
      <x:c r="H31" s="24" t="n">
        <x:f>SUMIFS('Codex Costs'!$X$2:$X$134,'Codex Costs'!$A$2:$A$134,$A31,'Codex Costs'!$E$2:$E$134,H$3)</x:f>
        <x:v>0</x:v>
      </x:c>
      <x:c r="I31" s="24" t="n">
        <x:f>SUMIFS('Codex Costs'!$X$2:$X$134,'Codex Costs'!$A$2:$A$134,$A31,'Codex Costs'!$E$2:$E$134,I$3)</x:f>
        <x:v>2062.4116670000003</x:v>
      </x:c>
      <x:c r="J31" s="24" t="n">
        <x:f>SUMIFS('Claude Costs'!$X$2:$X$43,'Claude Costs'!$A$2:$A$43,$A31,'Claude Costs'!$E$2:$E$43,J$3)</x:f>
        <x:v>997.4846409999999</x:v>
      </x:c>
      <x:c r="K31" s="24" t="n">
        <x:f>SUMIFS('Claude Costs'!$X$2:$X$43,'Claude Costs'!$A$2:$A$43,$A31,'Claude Costs'!$E$2:$E$43,K$3)</x:f>
        <x:v>0</x:v>
      </x:c>
      <x:c r="L31" s="24" t="n">
        <x:f>SUMIFS('Claude Costs'!$X$2:$X$43,'Claude Costs'!$A$2:$A$43,$A31,'Claude Costs'!$E$2:$E$43,L$3)</x:f>
        <x:v>0</x:v>
      </x:c>
      <x:c r="M31" s="24" t="n">
        <x:f>SUMIFS('Claude Costs'!$X$2:$X$43,'Claude Costs'!$A$2:$A$43,$A31,'Claude Costs'!$E$2:$E$43,M$3)</x:f>
        <x:v>0.7781203999999999</x:v>
      </x:c>
    </x:row>
    <x:row r="32">
      <x:c r="A32" t="str">
        <x:v>2026-07-17</x:v>
      </x:c>
      <x:c r="B32" s="24" t="n">
        <x:f>SUMIFS('Codex Costs'!$X$2:$X$134,'Codex Costs'!$A$2:$A$134,$A32,'Codex Costs'!$E$2:$E$134,B$3)</x:f>
        <x:v>0</x:v>
      </x:c>
      <x:c r="C32" s="24" t="n">
        <x:f>SUMIFS('Codex Costs'!$X$2:$X$134,'Codex Costs'!$A$2:$A$134,$A32,'Codex Costs'!$E$2:$E$134,C$3)</x:f>
        <x:v>0</x:v>
      </x:c>
      <x:c r="D32" s="24" t="n">
        <x:f>SUMIFS('Codex Costs'!$X$2:$X$134,'Codex Costs'!$A$2:$A$134,$A32,'Codex Costs'!$E$2:$E$134,D$3)</x:f>
        <x:v>0</x:v>
      </x:c>
      <x:c r="E32" s="24" t="n">
        <x:f>SUMIFS('Codex Costs'!$X$2:$X$134,'Codex Costs'!$A$2:$A$134,$A32,'Codex Costs'!$E$2:$E$134,E$3)</x:f>
        <x:v>0</x:v>
      </x:c>
      <x:c r="F32" s="24" t="n">
        <x:f>SUMIFS('Codex Costs'!$X$2:$X$134,'Codex Costs'!$A$2:$A$134,$A32,'Codex Costs'!$E$2:$E$134,F$3)</x:f>
        <x:v>0</x:v>
      </x:c>
      <x:c r="G32" s="24" t="n">
        <x:f>SUMIFS('Codex Costs'!$X$2:$X$134,'Codex Costs'!$A$2:$A$134,$A32,'Codex Costs'!$E$2:$E$134,G$3)</x:f>
        <x:v>1.2654949999999998</x:v>
      </x:c>
      <x:c r="H32" s="24" t="n">
        <x:f>SUMIFS('Codex Costs'!$X$2:$X$134,'Codex Costs'!$A$2:$A$134,$A32,'Codex Costs'!$E$2:$E$134,H$3)</x:f>
        <x:v>0</x:v>
      </x:c>
      <x:c r="I32" s="24" t="n">
        <x:f>SUMIFS('Codex Costs'!$X$2:$X$134,'Codex Costs'!$A$2:$A$134,$A32,'Codex Costs'!$E$2:$E$134,I$3)</x:f>
        <x:v>1078.943002</x:v>
      </x:c>
      <x:c r="J32" s="24" t="n">
        <x:f>SUMIFS('Claude Costs'!$X$2:$X$43,'Claude Costs'!$A$2:$A$43,$A32,'Claude Costs'!$E$2:$E$43,J$3)</x:f>
        <x:v>557.0027650000001</x:v>
      </x:c>
      <x:c r="K32" s="24" t="n">
        <x:f>SUMIFS('Claude Costs'!$X$2:$X$43,'Claude Costs'!$A$2:$A$43,$A32,'Claude Costs'!$E$2:$E$43,K$3)</x:f>
        <x:v>0</x:v>
      </x:c>
      <x:c r="L32" s="24" t="n">
        <x:f>SUMIFS('Claude Costs'!$X$2:$X$43,'Claude Costs'!$A$2:$A$43,$A32,'Claude Costs'!$E$2:$E$43,L$3)</x:f>
        <x:v>41.3728445</x:v>
      </x:c>
      <x:c r="M32" s="24" t="n">
        <x:f>SUMIFS('Claude Costs'!$X$2:$X$43,'Claude Costs'!$A$2:$A$43,$A32,'Claude Costs'!$E$2:$E$43,M$3)</x:f>
        <x:v>0</x:v>
      </x:c>
    </x:row>
    <x:row r="33">
      <x:c r="A33" t="str">
        <x:v>2026-07-18</x:v>
      </x:c>
      <x:c r="B33" s="24" t="n">
        <x:f>SUMIFS('Codex Costs'!$X$2:$X$134,'Codex Costs'!$A$2:$A$134,$A33,'Codex Costs'!$E$2:$E$134,B$3)</x:f>
        <x:v>0</x:v>
      </x:c>
      <x:c r="C33" s="24" t="n">
        <x:f>SUMIFS('Codex Costs'!$X$2:$X$134,'Codex Costs'!$A$2:$A$134,$A33,'Codex Costs'!$E$2:$E$134,C$3)</x:f>
        <x:v>0</x:v>
      </x:c>
      <x:c r="D33" s="24" t="n">
        <x:f>SUMIFS('Codex Costs'!$X$2:$X$134,'Codex Costs'!$A$2:$A$134,$A33,'Codex Costs'!$E$2:$E$134,D$3)</x:f>
        <x:v>0</x:v>
      </x:c>
      <x:c r="E33" s="24" t="n">
        <x:f>SUMIFS('Codex Costs'!$X$2:$X$134,'Codex Costs'!$A$2:$A$134,$A33,'Codex Costs'!$E$2:$E$134,E$3)</x:f>
        <x:v>0</x:v>
      </x:c>
      <x:c r="F33" s="24" t="n">
        <x:f>SUMIFS('Codex Costs'!$X$2:$X$134,'Codex Costs'!$A$2:$A$134,$A33,'Codex Costs'!$E$2:$E$134,F$3)</x:f>
        <x:v>0</x:v>
      </x:c>
      <x:c r="G33" s="24" t="n">
        <x:f>SUMIFS('Codex Costs'!$X$2:$X$134,'Codex Costs'!$A$2:$A$134,$A33,'Codex Costs'!$E$2:$E$134,G$3)</x:f>
        <x:v>0</x:v>
      </x:c>
      <x:c r="H33" s="24" t="n">
        <x:f>SUMIFS('Codex Costs'!$X$2:$X$134,'Codex Costs'!$A$2:$A$134,$A33,'Codex Costs'!$E$2:$E$134,H$3)</x:f>
        <x:v>0</x:v>
      </x:c>
      <x:c r="I33" s="24" t="n">
        <x:f>SUMIFS('Codex Costs'!$X$2:$X$134,'Codex Costs'!$A$2:$A$134,$A33,'Codex Costs'!$E$2:$E$134,I$3)</x:f>
        <x:v>955.1594879999999</x:v>
      </x:c>
      <x:c r="J33" s="24" t="n">
        <x:f>SUMIFS('Claude Costs'!$X$2:$X$43,'Claude Costs'!$A$2:$A$43,$A33,'Claude Costs'!$E$2:$E$43,J$3)</x:f>
        <x:v>383.507398</x:v>
      </x:c>
      <x:c r="K33" s="24" t="n">
        <x:f>SUMIFS('Claude Costs'!$X$2:$X$43,'Claude Costs'!$A$2:$A$43,$A33,'Claude Costs'!$E$2:$E$43,K$3)</x:f>
        <x:v>0</x:v>
      </x:c>
      <x:c r="L33" s="24" t="n">
        <x:f>SUMIFS('Claude Costs'!$X$2:$X$43,'Claude Costs'!$A$2:$A$43,$A33,'Claude Costs'!$E$2:$E$43,L$3)</x:f>
        <x:v>6.234411250000001</x:v>
      </x:c>
      <x:c r="M33" s="24" t="n">
        <x:f>SUMIFS('Claude Costs'!$X$2:$X$43,'Claude Costs'!$A$2:$A$43,$A33,'Claude Costs'!$E$2:$E$43,M$3)</x:f>
        <x:v>0</x:v>
      </x:c>
    </x:row>
    <x:row r="36">
      <x:c r="A36" s="46" t="str">
        <x:v>Monthly cost by model since detailed tracking began</x:v>
      </x:c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</x:row>
    <x:row r="38">
      <x:c r="A38" s="21" t="str">
        <x:v>month</x:v>
      </x:c>
      <x:c r="B38" s="21" t="str">
        <x:v>gpt-5.2</x:v>
      </x:c>
      <x:c r="C38" s="21" t="str">
        <x:v>gpt-5.2-codex</x:v>
      </x:c>
      <x:c r="D38" s="21" t="str">
        <x:v>gpt-5.3-codex</x:v>
      </x:c>
      <x:c r="E38" s="21" t="str">
        <x:v>gpt-5.3-codex-spark</x:v>
      </x:c>
      <x:c r="F38" s="21" t="str">
        <x:v>gpt-5.4</x:v>
      </x:c>
      <x:c r="G38" s="21" t="str">
        <x:v>gpt-5.5</x:v>
      </x:c>
      <x:c r="H38" s="21" t="str">
        <x:v>gpt-5.6-luna</x:v>
      </x:c>
      <x:c r="I38" s="21" t="str">
        <x:v>gpt-5.6-sol</x:v>
      </x:c>
      <x:c r="J38" s="21" t="str">
        <x:v>claude-fable-5</x:v>
      </x:c>
      <x:c r="K38" s="21" t="str">
        <x:v>claude-haiku-4-5-20251001</x:v>
      </x:c>
      <x:c r="L38" s="21" t="str">
        <x:v>claude-opus-4-8</x:v>
      </x:c>
      <x:c r="M38" s="21" t="str">
        <x:v>claude-sonnet-5</x:v>
      </x:c>
      <x:c r="N38" s="21" t="str">
        <x:v>year_helper</x:v>
      </x:c>
      <x:c r="O38" s="21" t="str">
        <x:v>month_name_helper</x:v>
      </x:c>
    </x:row>
    <x:row r="39">
      <x:c r="A39" t="str">
        <x:v>2026-02</x:v>
      </x:c>
      <x:c r="B39" s="24" t="n">
        <x:f>SUMIFS('Codex Costs'!$X$2:$X$134,'Codex Costs'!$E$2:$E$134,B$38,'Codex Costs'!$C$2:$C$134,$N39,'Codex Costs'!$B$2:$B$134,$O39)</x:f>
        <x:v>0</x:v>
      </x:c>
      <x:c r="C39" s="24" t="n">
        <x:f>SUMIFS('Codex Costs'!$X$2:$X$134,'Codex Costs'!$E$2:$E$134,C$38,'Codex Costs'!$C$2:$C$134,$N39,'Codex Costs'!$B$2:$B$134,$O39)</x:f>
        <x:v>7.84038815</x:v>
      </x:c>
      <x:c r="D39" s="24" t="n">
        <x:f>SUMIFS('Codex Costs'!$X$2:$X$134,'Codex Costs'!$E$2:$E$134,D$38,'Codex Costs'!$C$2:$C$134,$N39,'Codex Costs'!$B$2:$B$134,$O39)</x:f>
        <x:v>5286.162168699999</x:v>
      </x:c>
      <x:c r="E39" s="24" t="n">
        <x:f>SUMIFS('Codex Costs'!$X$2:$X$134,'Codex Costs'!$E$2:$E$134,E$38,'Codex Costs'!$C$2:$C$134,$N39,'Codex Costs'!$B$2:$B$134,$O39)</x:f>
        <x:v>463.49715054999996</x:v>
      </x:c>
      <x:c r="F39" s="24" t="n">
        <x:f>SUMIFS('Codex Costs'!$X$2:$X$134,'Codex Costs'!$E$2:$E$134,F$38,'Codex Costs'!$C$2:$C$134,$N39,'Codex Costs'!$B$2:$B$134,$O39)</x:f>
        <x:v>0</x:v>
      </x:c>
      <x:c r="G39" s="24" t="n">
        <x:f>SUMIFS('Codex Costs'!$X$2:$X$134,'Codex Costs'!$E$2:$E$134,G$38,'Codex Costs'!$C$2:$C$134,$N39,'Codex Costs'!$B$2:$B$134,$O39)</x:f>
        <x:v>0</x:v>
      </x:c>
      <x:c r="H39" s="24" t="n">
        <x:f>SUMIFS('Codex Costs'!$X$2:$X$134,'Codex Costs'!$E$2:$E$134,H$38,'Codex Costs'!$C$2:$C$134,$N39,'Codex Costs'!$B$2:$B$134,$O39)</x:f>
        <x:v>0</x:v>
      </x:c>
      <x:c r="I39" s="24" t="n">
        <x:f>SUMIFS('Codex Costs'!$X$2:$X$134,'Codex Costs'!$E$2:$E$134,I$38,'Codex Costs'!$C$2:$C$134,$N39,'Codex Costs'!$B$2:$B$134,$O39)</x:f>
        <x:v>0</x:v>
      </x:c>
      <x:c r="J39" s="24" t="n">
        <x:f>SUMIFS('Claude Costs'!$X$2:$X$43,'Claude Costs'!$E$2:$E$43,J$38,'Claude Costs'!$C$2:$C$43,$N39,'Claude Costs'!$B$2:$B$43,$O39)</x:f>
        <x:v>0</x:v>
      </x:c>
      <x:c r="K39" s="24" t="n">
        <x:f>SUMIFS('Claude Costs'!$X$2:$X$43,'Claude Costs'!$E$2:$E$43,K$38,'Claude Costs'!$C$2:$C$43,$N39,'Claude Costs'!$B$2:$B$43,$O39)</x:f>
        <x:v>0</x:v>
      </x:c>
      <x:c r="L39" s="24" t="n">
        <x:f>SUMIFS('Claude Costs'!$X$2:$X$43,'Claude Costs'!$E$2:$E$43,L$38,'Claude Costs'!$C$2:$C$43,$N39,'Claude Costs'!$B$2:$B$43,$O39)</x:f>
        <x:v>0</x:v>
      </x:c>
      <x:c r="M39" s="24" t="n">
        <x:f>SUMIFS('Claude Costs'!$X$2:$X$43,'Claude Costs'!$E$2:$E$43,M$38,'Claude Costs'!$C$2:$C$43,$N39,'Claude Costs'!$B$2:$B$43,$O39)</x:f>
        <x:v>0</x:v>
      </x:c>
      <x:c r="N39" t="n">
        <x:v>2026</x:v>
      </x:c>
      <x:c r="O39" t="str">
        <x:v>February</x:v>
      </x:c>
    </x:row>
    <x:row r="40">
      <x:c r="A40" t="str">
        <x:v>2026-03</x:v>
      </x:c>
      <x:c r="B40" s="24" t="n">
        <x:f>SUMIFS('Codex Costs'!$X$2:$X$134,'Codex Costs'!$E$2:$E$134,B$38,'Codex Costs'!$C$2:$C$134,$N40,'Codex Costs'!$B$2:$B$134,$O40)</x:f>
        <x:v>0</x:v>
      </x:c>
      <x:c r="C40" s="24" t="n">
        <x:f>SUMIFS('Codex Costs'!$X$2:$X$134,'Codex Costs'!$E$2:$E$134,C$38,'Codex Costs'!$C$2:$C$134,$N40,'Codex Costs'!$B$2:$B$134,$O40)</x:f>
        <x:v>0</x:v>
      </x:c>
      <x:c r="D40" s="24" t="n">
        <x:f>SUMIFS('Codex Costs'!$X$2:$X$134,'Codex Costs'!$E$2:$E$134,D$38,'Codex Costs'!$C$2:$C$134,$N40,'Codex Costs'!$B$2:$B$134,$O40)</x:f>
        <x:v>603.2716101999999</x:v>
      </x:c>
      <x:c r="E40" s="24" t="n">
        <x:f>SUMIFS('Codex Costs'!$X$2:$X$134,'Codex Costs'!$E$2:$E$134,E$38,'Codex Costs'!$C$2:$C$134,$N40,'Codex Costs'!$B$2:$B$134,$O40)</x:f>
        <x:v>787.0840635</x:v>
      </x:c>
      <x:c r="F40" s="24" t="n">
        <x:f>SUMIFS('Codex Costs'!$X$2:$X$134,'Codex Costs'!$E$2:$E$134,F$38,'Codex Costs'!$C$2:$C$134,$N40,'Codex Costs'!$B$2:$B$134,$O40)</x:f>
        <x:v>140.927052</x:v>
      </x:c>
      <x:c r="G40" s="24" t="n">
        <x:f>SUMIFS('Codex Costs'!$X$2:$X$134,'Codex Costs'!$E$2:$E$134,G$38,'Codex Costs'!$C$2:$C$134,$N40,'Codex Costs'!$B$2:$B$134,$O40)</x:f>
        <x:v>0</x:v>
      </x:c>
      <x:c r="H40" s="24" t="n">
        <x:f>SUMIFS('Codex Costs'!$X$2:$X$134,'Codex Costs'!$E$2:$E$134,H$38,'Codex Costs'!$C$2:$C$134,$N40,'Codex Costs'!$B$2:$B$134,$O40)</x:f>
        <x:v>0</x:v>
      </x:c>
      <x:c r="I40" s="24" t="n">
        <x:f>SUMIFS('Codex Costs'!$X$2:$X$134,'Codex Costs'!$E$2:$E$134,I$38,'Codex Costs'!$C$2:$C$134,$N40,'Codex Costs'!$B$2:$B$134,$O40)</x:f>
        <x:v>0</x:v>
      </x:c>
      <x:c r="J40" s="24" t="n">
        <x:f>SUMIFS('Claude Costs'!$X$2:$X$43,'Claude Costs'!$E$2:$E$43,J$38,'Claude Costs'!$C$2:$C$43,$N40,'Claude Costs'!$B$2:$B$43,$O40)</x:f>
        <x:v>0</x:v>
      </x:c>
      <x:c r="K40" s="24" t="n">
        <x:f>SUMIFS('Claude Costs'!$X$2:$X$43,'Claude Costs'!$E$2:$E$43,K$38,'Claude Costs'!$C$2:$C$43,$N40,'Claude Costs'!$B$2:$B$43,$O40)</x:f>
        <x:v>0</x:v>
      </x:c>
      <x:c r="L40" s="24" t="n">
        <x:f>SUMIFS('Claude Costs'!$X$2:$X$43,'Claude Costs'!$E$2:$E$43,L$38,'Claude Costs'!$C$2:$C$43,$N40,'Claude Costs'!$B$2:$B$43,$O40)</x:f>
        <x:v>0</x:v>
      </x:c>
      <x:c r="M40" s="24" t="n">
        <x:f>SUMIFS('Claude Costs'!$X$2:$X$43,'Claude Costs'!$E$2:$E$43,M$38,'Claude Costs'!$C$2:$C$43,$N40,'Claude Costs'!$B$2:$B$43,$O40)</x:f>
        <x:v>0</x:v>
      </x:c>
      <x:c r="N40" t="n">
        <x:v>2026</x:v>
      </x:c>
      <x:c r="O40" t="str">
        <x:v>March</x:v>
      </x:c>
    </x:row>
    <x:row r="41">
      <x:c r="A41" t="str">
        <x:v>2026-04</x:v>
      </x:c>
      <x:c r="B41" s="24" t="n">
        <x:f>SUMIFS('Codex Costs'!$X$2:$X$134,'Codex Costs'!$E$2:$E$134,B$38,'Codex Costs'!$C$2:$C$134,$N41,'Codex Costs'!$B$2:$B$134,$O41)</x:f>
        <x:v>0</x:v>
      </x:c>
      <x:c r="C41" s="24" t="n">
        <x:f>SUMIFS('Codex Costs'!$X$2:$X$134,'Codex Costs'!$E$2:$E$134,C$38,'Codex Costs'!$C$2:$C$134,$N41,'Codex Costs'!$B$2:$B$134,$O41)</x:f>
        <x:v>0</x:v>
      </x:c>
      <x:c r="D41" s="24" t="n">
        <x:f>SUMIFS('Codex Costs'!$X$2:$X$134,'Codex Costs'!$E$2:$E$134,D$38,'Codex Costs'!$C$2:$C$134,$N41,'Codex Costs'!$B$2:$B$134,$O41)</x:f>
        <x:v>0</x:v>
      </x:c>
      <x:c r="E41" s="24" t="n">
        <x:f>SUMIFS('Codex Costs'!$X$2:$X$134,'Codex Costs'!$E$2:$E$134,E$38,'Codex Costs'!$C$2:$C$134,$N41,'Codex Costs'!$B$2:$B$134,$O41)</x:f>
        <x:v>0</x:v>
      </x:c>
      <x:c r="F41" s="24" t="n">
        <x:f>SUMIFS('Codex Costs'!$X$2:$X$134,'Codex Costs'!$E$2:$E$134,F$38,'Codex Costs'!$C$2:$C$134,$N41,'Codex Costs'!$B$2:$B$134,$O41)</x:f>
        <x:v>77.2425725</x:v>
      </x:c>
      <x:c r="G41" s="24" t="n">
        <x:f>SUMIFS('Codex Costs'!$X$2:$X$134,'Codex Costs'!$E$2:$E$134,G$38,'Codex Costs'!$C$2:$C$134,$N41,'Codex Costs'!$B$2:$B$134,$O41)</x:f>
        <x:v>52.40778100000001</x:v>
      </x:c>
      <x:c r="H41" s="24" t="n">
        <x:f>SUMIFS('Codex Costs'!$X$2:$X$134,'Codex Costs'!$E$2:$E$134,H$38,'Codex Costs'!$C$2:$C$134,$N41,'Codex Costs'!$B$2:$B$134,$O41)</x:f>
        <x:v>0</x:v>
      </x:c>
      <x:c r="I41" s="24" t="n">
        <x:f>SUMIFS('Codex Costs'!$X$2:$X$134,'Codex Costs'!$E$2:$E$134,I$38,'Codex Costs'!$C$2:$C$134,$N41,'Codex Costs'!$B$2:$B$134,$O41)</x:f>
        <x:v>0</x:v>
      </x:c>
      <x:c r="J41" s="24" t="n">
        <x:f>SUMIFS('Claude Costs'!$X$2:$X$43,'Claude Costs'!$E$2:$E$43,J$38,'Claude Costs'!$C$2:$C$43,$N41,'Claude Costs'!$B$2:$B$43,$O41)</x:f>
        <x:v>0</x:v>
      </x:c>
      <x:c r="K41" s="24" t="n">
        <x:f>SUMIFS('Claude Costs'!$X$2:$X$43,'Claude Costs'!$E$2:$E$43,K$38,'Claude Costs'!$C$2:$C$43,$N41,'Claude Costs'!$B$2:$B$43,$O41)</x:f>
        <x:v>0</x:v>
      </x:c>
      <x:c r="L41" s="24" t="n">
        <x:f>SUMIFS('Claude Costs'!$X$2:$X$43,'Claude Costs'!$E$2:$E$43,L$38,'Claude Costs'!$C$2:$C$43,$N41,'Claude Costs'!$B$2:$B$43,$O41)</x:f>
        <x:v>0</x:v>
      </x:c>
      <x:c r="M41" s="24" t="n">
        <x:f>SUMIFS('Claude Costs'!$X$2:$X$43,'Claude Costs'!$E$2:$E$43,M$38,'Claude Costs'!$C$2:$C$43,$N41,'Claude Costs'!$B$2:$B$43,$O41)</x:f>
        <x:v>0</x:v>
      </x:c>
      <x:c r="N41" t="n">
        <x:v>2026</x:v>
      </x:c>
      <x:c r="O41" t="str">
        <x:v>April</x:v>
      </x:c>
    </x:row>
    <x:row r="42">
      <x:c r="A42" t="str">
        <x:v>2026-05</x:v>
      </x:c>
      <x:c r="B42" s="24" t="n">
        <x:f>SUMIFS('Codex Costs'!$X$2:$X$134,'Codex Costs'!$E$2:$E$134,B$38,'Codex Costs'!$C$2:$C$134,$N42,'Codex Costs'!$B$2:$B$134,$O42)</x:f>
        <x:v>0.17852659999999998</x:v>
      </x:c>
      <x:c r="C42" s="24" t="n">
        <x:f>SUMIFS('Codex Costs'!$X$2:$X$134,'Codex Costs'!$E$2:$E$134,C$38,'Codex Costs'!$C$2:$C$134,$N42,'Codex Costs'!$B$2:$B$134,$O42)</x:f>
        <x:v>0</x:v>
      </x:c>
      <x:c r="D42" s="24" t="n">
        <x:f>SUMIFS('Codex Costs'!$X$2:$X$134,'Codex Costs'!$E$2:$E$134,D$38,'Codex Costs'!$C$2:$C$134,$N42,'Codex Costs'!$B$2:$B$134,$O42)</x:f>
        <x:v>0</x:v>
      </x:c>
      <x:c r="E42" s="24" t="n">
        <x:f>SUMIFS('Codex Costs'!$X$2:$X$134,'Codex Costs'!$E$2:$E$134,E$38,'Codex Costs'!$C$2:$C$134,$N42,'Codex Costs'!$B$2:$B$134,$O42)</x:f>
        <x:v>0</x:v>
      </x:c>
      <x:c r="F42" s="24" t="n">
        <x:f>SUMIFS('Codex Costs'!$X$2:$X$134,'Codex Costs'!$E$2:$E$134,F$38,'Codex Costs'!$C$2:$C$134,$N42,'Codex Costs'!$B$2:$B$134,$O42)</x:f>
        <x:v>0</x:v>
      </x:c>
      <x:c r="G42" s="24" t="n">
        <x:f>SUMIFS('Codex Costs'!$X$2:$X$134,'Codex Costs'!$E$2:$E$134,G$38,'Codex Costs'!$C$2:$C$134,$N42,'Codex Costs'!$B$2:$B$134,$O42)</x:f>
        <x:v>3130.4426019999996</x:v>
      </x:c>
      <x:c r="H42" s="24" t="n">
        <x:f>SUMIFS('Codex Costs'!$X$2:$X$134,'Codex Costs'!$E$2:$E$134,H$38,'Codex Costs'!$C$2:$C$134,$N42,'Codex Costs'!$B$2:$B$134,$O42)</x:f>
        <x:v>0</x:v>
      </x:c>
      <x:c r="I42" s="24" t="n">
        <x:f>SUMIFS('Codex Costs'!$X$2:$X$134,'Codex Costs'!$E$2:$E$134,I$38,'Codex Costs'!$C$2:$C$134,$N42,'Codex Costs'!$B$2:$B$134,$O42)</x:f>
        <x:v>0</x:v>
      </x:c>
      <x:c r="J42" s="24" t="n">
        <x:f>SUMIFS('Claude Costs'!$X$2:$X$43,'Claude Costs'!$E$2:$E$43,J$38,'Claude Costs'!$C$2:$C$43,$N42,'Claude Costs'!$B$2:$B$43,$O42)</x:f>
        <x:v>0</x:v>
      </x:c>
      <x:c r="K42" s="24" t="n">
        <x:f>SUMIFS('Claude Costs'!$X$2:$X$43,'Claude Costs'!$E$2:$E$43,K$38,'Claude Costs'!$C$2:$C$43,$N42,'Claude Costs'!$B$2:$B$43,$O42)</x:f>
        <x:v>0</x:v>
      </x:c>
      <x:c r="L42" s="24" t="n">
        <x:f>SUMIFS('Claude Costs'!$X$2:$X$43,'Claude Costs'!$E$2:$E$43,L$38,'Claude Costs'!$C$2:$C$43,$N42,'Claude Costs'!$B$2:$B$43,$O42)</x:f>
        <x:v>0</x:v>
      </x:c>
      <x:c r="M42" s="24" t="n">
        <x:f>SUMIFS('Claude Costs'!$X$2:$X$43,'Claude Costs'!$E$2:$E$43,M$38,'Claude Costs'!$C$2:$C$43,$N42,'Claude Costs'!$B$2:$B$43,$O42)</x:f>
        <x:v>0</x:v>
      </x:c>
      <x:c r="N42" t="n">
        <x:v>2026</x:v>
      </x:c>
      <x:c r="O42" t="str">
        <x:v>May</x:v>
      </x:c>
    </x:row>
    <x:row r="43">
      <x:c r="A43" t="str">
        <x:v>2026-06</x:v>
      </x:c>
      <x:c r="B43" s="24" t="n">
        <x:f>SUMIFS('Codex Costs'!$X$2:$X$134,'Codex Costs'!$E$2:$E$134,B$38,'Codex Costs'!$C$2:$C$134,$N43,'Codex Costs'!$B$2:$B$134,$O43)</x:f>
        <x:v>0</x:v>
      </x:c>
      <x:c r="C43" s="24" t="n">
        <x:f>SUMIFS('Codex Costs'!$X$2:$X$134,'Codex Costs'!$E$2:$E$134,C$38,'Codex Costs'!$C$2:$C$134,$N43,'Codex Costs'!$B$2:$B$134,$O43)</x:f>
        <x:v>0</x:v>
      </x:c>
      <x:c r="D43" s="24" t="n">
        <x:f>SUMIFS('Codex Costs'!$X$2:$X$134,'Codex Costs'!$E$2:$E$134,D$38,'Codex Costs'!$C$2:$C$134,$N43,'Codex Costs'!$B$2:$B$134,$O43)</x:f>
        <x:v>0</x:v>
      </x:c>
      <x:c r="E43" s="24" t="n">
        <x:f>SUMIFS('Codex Costs'!$X$2:$X$134,'Codex Costs'!$E$2:$E$134,E$38,'Codex Costs'!$C$2:$C$134,$N43,'Codex Costs'!$B$2:$B$134,$O43)</x:f>
        <x:v>0</x:v>
      </x:c>
      <x:c r="F43" s="24" t="n">
        <x:f>SUMIFS('Codex Costs'!$X$2:$X$134,'Codex Costs'!$E$2:$E$134,F$38,'Codex Costs'!$C$2:$C$134,$N43,'Codex Costs'!$B$2:$B$134,$O43)</x:f>
        <x:v>0</x:v>
      </x:c>
      <x:c r="G43" s="24" t="n">
        <x:f>SUMIFS('Codex Costs'!$X$2:$X$134,'Codex Costs'!$E$2:$E$134,G$38,'Codex Costs'!$C$2:$C$134,$N43,'Codex Costs'!$B$2:$B$134,$O43)</x:f>
        <x:v>33508.79767400001</x:v>
      </x:c>
      <x:c r="H43" s="24" t="n">
        <x:f>SUMIFS('Codex Costs'!$X$2:$X$134,'Codex Costs'!$E$2:$E$134,H$38,'Codex Costs'!$C$2:$C$134,$N43,'Codex Costs'!$B$2:$B$134,$O43)</x:f>
        <x:v>0</x:v>
      </x:c>
      <x:c r="I43" s="24" t="n">
        <x:f>SUMIFS('Codex Costs'!$X$2:$X$134,'Codex Costs'!$E$2:$E$134,I$38,'Codex Costs'!$C$2:$C$134,$N43,'Codex Costs'!$B$2:$B$134,$O43)</x:f>
        <x:v>0</x:v>
      </x:c>
      <x:c r="J43" s="24" t="n">
        <x:f>SUMIFS('Claude Costs'!$X$2:$X$43,'Claude Costs'!$E$2:$E$43,J$38,'Claude Costs'!$C$2:$C$43,$N43,'Claude Costs'!$B$2:$B$43,$O43)</x:f>
        <x:v>32.86206249999999</x:v>
      </x:c>
      <x:c r="K43" s="24" t="n">
        <x:f>SUMIFS('Claude Costs'!$X$2:$X$43,'Claude Costs'!$E$2:$E$43,K$38,'Claude Costs'!$C$2:$C$43,$N43,'Claude Costs'!$B$2:$B$43,$O43)</x:f>
        <x:v>0.29214975</x:v>
      </x:c>
      <x:c r="L43" s="24" t="n">
        <x:f>SUMIFS('Claude Costs'!$X$2:$X$43,'Claude Costs'!$E$2:$E$43,L$38,'Claude Costs'!$C$2:$C$43,$N43,'Claude Costs'!$B$2:$B$43,$O43)</x:f>
        <x:v>1408.304941</x:v>
      </x:c>
      <x:c r="M43" s="24" t="n">
        <x:f>SUMIFS('Claude Costs'!$X$2:$X$43,'Claude Costs'!$E$2:$E$43,M$38,'Claude Costs'!$C$2:$C$43,$N43,'Claude Costs'!$B$2:$B$43,$O43)</x:f>
        <x:v>0</x:v>
      </x:c>
      <x:c r="N43" t="n">
        <x:v>2026</x:v>
      </x:c>
      <x:c r="O43" t="str">
        <x:v>June</x:v>
      </x:c>
    </x:row>
    <x:row r="44">
      <x:c r="A44" t="str">
        <x:v>2026-07</x:v>
      </x:c>
      <x:c r="B44" s="24" t="n">
        <x:f>SUMIFS('Codex Costs'!$X$2:$X$134,'Codex Costs'!$E$2:$E$134,B$38,'Codex Costs'!$C$2:$C$134,$N44,'Codex Costs'!$B$2:$B$134,$O44)</x:f>
        <x:v>0</x:v>
      </x:c>
      <x:c r="C44" s="24" t="n">
        <x:f>SUMIFS('Codex Costs'!$X$2:$X$134,'Codex Costs'!$E$2:$E$134,C$38,'Codex Costs'!$C$2:$C$134,$N44,'Codex Costs'!$B$2:$B$134,$O44)</x:f>
        <x:v>0</x:v>
      </x:c>
      <x:c r="D44" s="24" t="n">
        <x:f>SUMIFS('Codex Costs'!$X$2:$X$134,'Codex Costs'!$E$2:$E$134,D$38,'Codex Costs'!$C$2:$C$134,$N44,'Codex Costs'!$B$2:$B$134,$O44)</x:f>
        <x:v>0</x:v>
      </x:c>
      <x:c r="E44" s="24" t="n">
        <x:f>SUMIFS('Codex Costs'!$X$2:$X$134,'Codex Costs'!$E$2:$E$134,E$38,'Codex Costs'!$C$2:$C$134,$N44,'Codex Costs'!$B$2:$B$134,$O44)</x:f>
        <x:v>0</x:v>
      </x:c>
      <x:c r="F44" s="24" t="n">
        <x:f>SUMIFS('Codex Costs'!$X$2:$X$134,'Codex Costs'!$E$2:$E$134,F$38,'Codex Costs'!$C$2:$C$134,$N44,'Codex Costs'!$B$2:$B$134,$O44)</x:f>
        <x:v>0</x:v>
      </x:c>
      <x:c r="G44" s="24" t="n">
        <x:f>SUMIFS('Codex Costs'!$X$2:$X$134,'Codex Costs'!$E$2:$E$134,G$38,'Codex Costs'!$C$2:$C$134,$N44,'Codex Costs'!$B$2:$B$134,$O44)</x:f>
        <x:v>16106.942697999999</x:v>
      </x:c>
      <x:c r="H44" s="24" t="n">
        <x:f>SUMIFS('Codex Costs'!$X$2:$X$134,'Codex Costs'!$E$2:$E$134,H$38,'Codex Costs'!$C$2:$C$134,$N44,'Codex Costs'!$B$2:$B$134,$O44)</x:f>
        <x:v>2.0614054</x:v>
      </x:c>
      <x:c r="I44" s="24" t="n">
        <x:f>SUMIFS('Codex Costs'!$X$2:$X$134,'Codex Costs'!$E$2:$E$134,I$38,'Codex Costs'!$C$2:$C$134,$N44,'Codex Costs'!$B$2:$B$134,$O44)</x:f>
        <x:v>66883.18986</x:v>
      </x:c>
      <x:c r="J44" s="24" t="n">
        <x:f>SUMIFS('Claude Costs'!$X$2:$X$43,'Claude Costs'!$E$2:$E$43,J$38,'Claude Costs'!$C$2:$C$43,$N44,'Claude Costs'!$B$2:$B$43,$O44)</x:f>
        <x:v>4980.927527</x:v>
      </x:c>
      <x:c r="K44" s="24" t="n">
        <x:f>SUMIFS('Claude Costs'!$X$2:$X$43,'Claude Costs'!$E$2:$E$43,K$38,'Claude Costs'!$C$2:$C$43,$N44,'Claude Costs'!$B$2:$B$43,$O44)</x:f>
        <x:v>0</x:v>
      </x:c>
      <x:c r="L44" s="24" t="n">
        <x:f>SUMIFS('Claude Costs'!$X$2:$X$43,'Claude Costs'!$E$2:$E$43,L$38,'Claude Costs'!$C$2:$C$43,$N44,'Claude Costs'!$B$2:$B$43,$O44)</x:f>
        <x:v>439.827972</x:v>
      </x:c>
      <x:c r="M44" s="24" t="n">
        <x:f>SUMIFS('Claude Costs'!$X$2:$X$43,'Claude Costs'!$E$2:$E$43,M$38,'Claude Costs'!$C$2:$C$43,$N44,'Claude Costs'!$B$2:$B$43,$O44)</x:f>
        <x:v>15.6090888</x:v>
      </x:c>
      <x:c r="N44" t="n">
        <x:v>2026</x:v>
      </x:c>
      <x:c r="O44" t="str">
        <x:v>July</x:v>
      </x:c>
    </x:row>
  </x:sheetData>
  <x:mergeCells>
    <x:mergeCell ref="A1:M1"/>
    <x:mergeCell ref="A36:M36"/>
  </x:mergeCells>
  <x:pageMargins left="0.7" right="0.7" top="0.75" bottom="0.75" header="0.3" footer="0.3"/>
</x:worksheet>
</file>